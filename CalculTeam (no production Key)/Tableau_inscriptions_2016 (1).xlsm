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tilisateur\Google Drive\FestiGeek2015-2016\FestiGeek\Inscriptions\"/>
    </mc:Choice>
  </mc:AlternateContent>
  <bookViews>
    <workbookView xWindow="0" yWindow="0" windowWidth="24000" windowHeight="9735" activeTab="4"/>
  </bookViews>
  <sheets>
    <sheet name="Tableau de bord" sheetId="2" r:id="rId1"/>
    <sheet name="Equipes" sheetId="5" r:id="rId2"/>
    <sheet name="Cash-Prize" sheetId="7" r:id="rId3"/>
    <sheet name="bouffe" sheetId="6" r:id="rId4"/>
    <sheet name="Inscriptions" sheetId="1" r:id="rId5"/>
    <sheet name="Données" sheetId="4" r:id="rId6"/>
  </sheets>
  <definedNames>
    <definedName name="_xlnm._FilterDatabase" localSheetId="4" hidden="1">Inscriptions!$A$1:$AH$180</definedName>
    <definedName name="battle_tag">Inscriptions!$G$2:$G$234</definedName>
    <definedName name="di_déj">Inscriptions!$O$2:$O$234</definedName>
    <definedName name="di_midi">Inscriptions!$P$2:$P$234</definedName>
    <definedName name="Etudiant">Inscriptions!$T$2:$T$234</definedName>
    <definedName name="mineur">Inscriptions!$J$2:$J$234</definedName>
    <definedName name="montant">Inscriptions!$Q$2:$Q$234</definedName>
    <definedName name="moyen_paiement">Inscriptions!$R$2:$R$234</definedName>
    <definedName name="nb_commande">Inscriptions!$A$2:$A$234</definedName>
    <definedName name="Nom">Inscriptions!$B$2:$B$234</definedName>
    <definedName name="Nom_utilisateur">Inscriptions!$D$2:$D$234</definedName>
    <definedName name="num_commande">Inscriptions!$A$2:$A$234</definedName>
    <definedName name="Participation_tournoi">Inscriptions!$I$2:$I$234</definedName>
    <definedName name="Prenom">Inscriptions!$C$2:$C$234</definedName>
    <definedName name="pseudo_riot">Inscriptions!$F$2:$F$234</definedName>
    <definedName name="pseudo_steam">Inscriptions!$E$2:$E$234</definedName>
    <definedName name="sa_déj">Inscriptions!$L$2:$L$234</definedName>
    <definedName name="sa_midi">Inscriptions!$M$2:$M$234</definedName>
    <definedName name="sa_soir">Inscriptions!$N$2:$N$234</definedName>
    <definedName name="statut_paiement">Inscriptions!$S$2:$S$234</definedName>
    <definedName name="team">Inscriptions!$H$2:$H$234</definedName>
    <definedName name="ve_soir">Inscriptions!$K$2:$K$234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78" i="1" l="1"/>
  <c r="Q89" i="1"/>
  <c r="Q104" i="1" l="1"/>
  <c r="Q84" i="1"/>
  <c r="Q37" i="1" l="1"/>
  <c r="Q58" i="1"/>
  <c r="Q83" i="1"/>
  <c r="Q88" i="1"/>
  <c r="Q70" i="1"/>
  <c r="Q41" i="1" l="1"/>
  <c r="Q38" i="1"/>
  <c r="Q151" i="1"/>
  <c r="Q177" i="1"/>
  <c r="Q79" i="1" l="1"/>
  <c r="Q102" i="1"/>
  <c r="Q103" i="1"/>
  <c r="Q100" i="1"/>
  <c r="Q53" i="1"/>
  <c r="Q47" i="1"/>
  <c r="Q110" i="1"/>
  <c r="Q175" i="1"/>
  <c r="Q176" i="1"/>
  <c r="Q76" i="1"/>
  <c r="Q77" i="1"/>
  <c r="Q78" i="1"/>
  <c r="D4" i="7" l="1"/>
  <c r="D12" i="7"/>
  <c r="D13" i="7"/>
  <c r="H3" i="7"/>
  <c r="H4" i="7" s="1"/>
  <c r="C10" i="2"/>
  <c r="L9" i="7"/>
  <c r="M4" i="7"/>
  <c r="L3" i="7"/>
  <c r="L4" i="7" s="1"/>
  <c r="C12" i="2"/>
  <c r="C3" i="7"/>
  <c r="C4" i="7" s="1"/>
  <c r="C10" i="7" s="1"/>
  <c r="C14" i="7" s="1"/>
  <c r="C11" i="2"/>
  <c r="F3" i="7"/>
  <c r="D19" i="7"/>
  <c r="C13" i="7"/>
  <c r="C12" i="7"/>
  <c r="G9" i="7"/>
  <c r="B9" i="7"/>
  <c r="G8" i="7"/>
  <c r="B8" i="7"/>
  <c r="G7" i="7"/>
  <c r="B7" i="7"/>
  <c r="L10" i="7" l="1"/>
  <c r="L14" i="7" s="1"/>
  <c r="M10" i="7"/>
  <c r="M14" i="7" s="1"/>
  <c r="M9" i="7"/>
  <c r="H10" i="7"/>
  <c r="C9" i="7"/>
  <c r="D9" i="7" s="1"/>
  <c r="H9" i="7"/>
  <c r="Q174" i="1"/>
  <c r="Q109" i="1"/>
  <c r="Q173" i="1"/>
  <c r="D10" i="7" l="1"/>
  <c r="D14" i="7" s="1"/>
  <c r="D18" i="7"/>
  <c r="D21" i="7" s="1"/>
  <c r="H14" i="7"/>
  <c r="Q116" i="1"/>
  <c r="Q87" i="1"/>
  <c r="Q69" i="1"/>
  <c r="Q86" i="1"/>
  <c r="Q108" i="1" l="1"/>
  <c r="Q156" i="1"/>
  <c r="Q10" i="1"/>
  <c r="Q139" i="1"/>
  <c r="Q124" i="1"/>
  <c r="Q63" i="1"/>
  <c r="Q129" i="1"/>
  <c r="Q52" i="1"/>
  <c r="Q11" i="1"/>
  <c r="Q172" i="1"/>
  <c r="Q115" i="1"/>
  <c r="Q25" i="1"/>
  <c r="Q26" i="1"/>
  <c r="Q140" i="1"/>
  <c r="Q71" i="1"/>
  <c r="Q72" i="1"/>
  <c r="Q73" i="1"/>
  <c r="Q27" i="1"/>
  <c r="Q98" i="1"/>
  <c r="Q99" i="1"/>
  <c r="Q92" i="1"/>
  <c r="Q93" i="1"/>
  <c r="Q94" i="1"/>
  <c r="Q95" i="1"/>
  <c r="Q22" i="1"/>
  <c r="Q74" i="1"/>
  <c r="Q75" i="1"/>
  <c r="Q166" i="1"/>
  <c r="Q85" i="1"/>
  <c r="Q9" i="1" l="1"/>
  <c r="Q17" i="1"/>
  <c r="Q123" i="1"/>
  <c r="Q165" i="1"/>
  <c r="Q171" i="1"/>
  <c r="Q155" i="1"/>
  <c r="Q25" i="5"/>
  <c r="Q138" i="1" l="1"/>
  <c r="Q49" i="1"/>
  <c r="Q50" i="1"/>
  <c r="Q101" i="1"/>
  <c r="Q16" i="1"/>
  <c r="Q51" i="1"/>
  <c r="Q145" i="1"/>
  <c r="Q161" i="1"/>
  <c r="Q119" i="1"/>
  <c r="Q164" i="1"/>
  <c r="Q23" i="1"/>
  <c r="Q153" i="1"/>
  <c r="Q154" i="1"/>
  <c r="Q24" i="1"/>
  <c r="Q8" i="1"/>
  <c r="Q128" i="1"/>
  <c r="Q141" i="1" l="1"/>
  <c r="Q142" i="1"/>
  <c r="Q167" i="1"/>
  <c r="Q162" i="1"/>
  <c r="Q13" i="1"/>
  <c r="Q163" i="1"/>
  <c r="Q14" i="1"/>
  <c r="Q15" i="1"/>
  <c r="Q39" i="1"/>
  <c r="Q12" i="1"/>
  <c r="Q29" i="1"/>
  <c r="Q118" i="1"/>
  <c r="Q146" i="1"/>
  <c r="Q30" i="1"/>
  <c r="Q42" i="1"/>
  <c r="Q31" i="1"/>
  <c r="Q64" i="1"/>
  <c r="Q65" i="1"/>
  <c r="Q147" i="1"/>
  <c r="Q148" i="1"/>
  <c r="Q2" i="1"/>
  <c r="Q3" i="1"/>
  <c r="Q90" i="1"/>
  <c r="Q48" i="1"/>
  <c r="Q4" i="1"/>
  <c r="Q5" i="1"/>
  <c r="Q130" i="1"/>
  <c r="Q131" i="1"/>
  <c r="Q132" i="1"/>
  <c r="Q133" i="1"/>
  <c r="Q66" i="1"/>
  <c r="Q134" i="1"/>
  <c r="Q33" i="1"/>
  <c r="Q120" i="1"/>
  <c r="Q168" i="1"/>
  <c r="Q34" i="1"/>
  <c r="Q35" i="1"/>
  <c r="Q121" i="1"/>
  <c r="Q67" i="1"/>
  <c r="Q105" i="1"/>
  <c r="Q122" i="1"/>
  <c r="Q152" i="1"/>
  <c r="Q59" i="1"/>
  <c r="Q106" i="1"/>
  <c r="Q68" i="1"/>
  <c r="Q112" i="1"/>
  <c r="Q60" i="1"/>
  <c r="Q61" i="1"/>
  <c r="Q6" i="1"/>
  <c r="Q7" i="1"/>
  <c r="Q54" i="1"/>
  <c r="Q55" i="1"/>
  <c r="Q91" i="1"/>
  <c r="Q96" i="1"/>
  <c r="Q97" i="1"/>
  <c r="Q43" i="1"/>
  <c r="Q44" i="1"/>
  <c r="Q45" i="1"/>
  <c r="Q46" i="1"/>
  <c r="Q18" i="1"/>
  <c r="Q19" i="1"/>
  <c r="Q20" i="1"/>
  <c r="Q40" i="1"/>
  <c r="Q169" i="1"/>
  <c r="Q149" i="1"/>
  <c r="Q150" i="1"/>
  <c r="Q56" i="1"/>
  <c r="Q113" i="1"/>
  <c r="Q114" i="1"/>
  <c r="Q170" i="1"/>
  <c r="Q21" i="1"/>
  <c r="Q32" i="1"/>
  <c r="Q143" i="1"/>
  <c r="Q144" i="1"/>
  <c r="Q57" i="1"/>
  <c r="Q107" i="1"/>
  <c r="Q125" i="1"/>
  <c r="Q126" i="1"/>
  <c r="Q36" i="1"/>
  <c r="Q117" i="1"/>
  <c r="Q62" i="1"/>
  <c r="Q80" i="1"/>
  <c r="Q135" i="1"/>
  <c r="Q157" i="1"/>
  <c r="Q158" i="1"/>
  <c r="Q81" i="1"/>
  <c r="Q159" i="1"/>
  <c r="Q136" i="1"/>
  <c r="Q160" i="1"/>
  <c r="Q137" i="1"/>
  <c r="Q82" i="1"/>
  <c r="Q28" i="1"/>
  <c r="P28" i="5" l="1"/>
  <c r="A3" i="7" s="1"/>
  <c r="Q22" i="5"/>
  <c r="Q23" i="5"/>
  <c r="Q24" i="5"/>
  <c r="Q20" i="5" l="1"/>
  <c r="Q21" i="5"/>
  <c r="Q17" i="5" l="1"/>
  <c r="Q18" i="5"/>
  <c r="Q19" i="5"/>
  <c r="Q14" i="5"/>
  <c r="Q15" i="5"/>
  <c r="Q16" i="5"/>
  <c r="Q4" i="5" l="1"/>
  <c r="C16" i="2" l="1"/>
  <c r="U183" i="1"/>
  <c r="G16" i="2"/>
  <c r="C15" i="2"/>
  <c r="K19" i="2" l="1"/>
  <c r="K20" i="2" s="1"/>
  <c r="K16" i="2"/>
  <c r="K13" i="2"/>
  <c r="K14" i="2" s="1"/>
  <c r="K10" i="2"/>
  <c r="K11" i="2" s="1"/>
  <c r="G15" i="2" l="1"/>
  <c r="I73" i="6" l="1"/>
  <c r="I51" i="6" l="1"/>
  <c r="K51" i="6" l="1"/>
  <c r="K73" i="6"/>
  <c r="C5" i="5" l="1"/>
  <c r="C6" i="5"/>
  <c r="C7" i="5"/>
  <c r="C8" i="5"/>
  <c r="C9" i="5"/>
  <c r="C10" i="5"/>
  <c r="C11" i="5"/>
  <c r="C12" i="5"/>
  <c r="C13" i="5"/>
  <c r="C14" i="5"/>
  <c r="C15" i="5"/>
  <c r="C16" i="5"/>
  <c r="C17" i="5"/>
  <c r="C4" i="5"/>
  <c r="Q5" i="5"/>
  <c r="Q6" i="5"/>
  <c r="Q7" i="5"/>
  <c r="Q8" i="5"/>
  <c r="Q9" i="5"/>
  <c r="Q10" i="5"/>
  <c r="Q11" i="5"/>
  <c r="Q12" i="5"/>
  <c r="Q13" i="5"/>
  <c r="B20" i="5" l="1"/>
  <c r="C18" i="5"/>
  <c r="Q26" i="5"/>
  <c r="Q28" i="5" s="1"/>
  <c r="C20" i="5" l="1"/>
  <c r="C13" i="2" l="1"/>
  <c r="G14" i="2"/>
  <c r="K7" i="2" l="1"/>
  <c r="K8" i="2" s="1"/>
  <c r="G5" i="2"/>
  <c r="G8" i="2"/>
  <c r="G7" i="2"/>
  <c r="G4" i="2"/>
  <c r="G10" i="2" l="1"/>
  <c r="G11" i="2"/>
  <c r="K17" i="2"/>
  <c r="K4" i="2"/>
  <c r="K5" i="2" s="1"/>
  <c r="K22" i="2" l="1"/>
</calcChain>
</file>

<file path=xl/comments1.xml><?xml version="1.0" encoding="utf-8"?>
<comments xmlns="http://schemas.openxmlformats.org/spreadsheetml/2006/main">
  <authors>
    <author>Daniel</author>
  </authors>
  <commentList>
    <comment ref="S90" authorId="0" shapeId="0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Payé 49.- à Alan en Cash
à rembourser les repas de dimanche (18.-) (remboursé par Daniel le 20,04,2016)</t>
        </r>
      </text>
    </comment>
    <comment ref="S101" authorId="0" shapeId="0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à rembourser 15 CHF</t>
        </r>
      </text>
    </comment>
    <comment ref="D119" authorId="0" shapeId="0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A placer près de Baboune2510 et Yukaword</t>
        </r>
      </text>
    </comment>
    <comment ref="S141" authorId="0" shapeId="0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Donné par Bruno en Cash</t>
        </r>
      </text>
    </comment>
    <comment ref="S142" authorId="0" shapeId="0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Donné par Bruno en Cash</t>
        </r>
      </text>
    </comment>
    <comment ref="D171" authorId="0" shapeId="0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A placer près de Shawn, Baboune 2510 et Trizerrr</t>
        </r>
      </text>
    </comment>
  </commentList>
</comments>
</file>

<file path=xl/sharedStrings.xml><?xml version="1.0" encoding="utf-8"?>
<sst xmlns="http://schemas.openxmlformats.org/spreadsheetml/2006/main" count="2971" uniqueCount="782">
  <si>
    <t>Numéro de commande</t>
  </si>
  <si>
    <t>Nom</t>
  </si>
  <si>
    <t>Prénom</t>
  </si>
  <si>
    <t>Nom d'utilisateur</t>
  </si>
  <si>
    <t>Pseudo Steam</t>
  </si>
  <si>
    <t>Pseudo Riot</t>
  </si>
  <si>
    <t>Battle TAG</t>
  </si>
  <si>
    <t>Nom de Team</t>
  </si>
  <si>
    <t>Mineur</t>
  </si>
  <si>
    <t>Montant total</t>
  </si>
  <si>
    <t>Moyen de paiement</t>
  </si>
  <si>
    <t>Repas vendredi soir</t>
  </si>
  <si>
    <t>Repas samedi midi</t>
  </si>
  <si>
    <t>PayPal</t>
  </si>
  <si>
    <t>HearthStone</t>
  </si>
  <si>
    <t>Statut paiement</t>
  </si>
  <si>
    <t>X</t>
  </si>
  <si>
    <t>Séquentiel</t>
  </si>
  <si>
    <t>SID</t>
  </si>
  <si>
    <t>Heure</t>
  </si>
  <si>
    <t>Brouillon</t>
  </si>
  <si>
    <t>Adresse IP</t>
  </si>
  <si>
    <t>UID</t>
  </si>
  <si>
    <t>test-produt: PAID</t>
  </si>
  <si>
    <t>test-produt: UNPAID</t>
  </si>
  <si>
    <t>Compte Steam</t>
  </si>
  <si>
    <t>Compte LoL</t>
  </si>
  <si>
    <t>Battletag (nom#numéro)</t>
  </si>
  <si>
    <t>Nom de l'équipe</t>
  </si>
  <si>
    <t>J'ai pris note qu'il me fallait un câble RJ-45 (10m) pour cet événement.</t>
  </si>
  <si>
    <t>Je suis mineur(e).</t>
  </si>
  <si>
    <t>Je confirme avoir pris connaissance du règlement et des conditions de participation.</t>
  </si>
  <si>
    <t>repas-lan-ve-soir: PAID</t>
  </si>
  <si>
    <t>repas-lan-ve-soir: UNPAID</t>
  </si>
  <si>
    <t>Participation tournoi principal</t>
  </si>
  <si>
    <t>-&gt;</t>
  </si>
  <si>
    <t>Paiements</t>
  </si>
  <si>
    <t>Total</t>
  </si>
  <si>
    <t>Numéros de commande:</t>
  </si>
  <si>
    <t>PostFinance</t>
  </si>
  <si>
    <t>FG</t>
  </si>
  <si>
    <t>Inscriptions :</t>
  </si>
  <si>
    <t>Montant :</t>
  </si>
  <si>
    <t>PayPal :</t>
  </si>
  <si>
    <t>Total :</t>
  </si>
  <si>
    <t>Liens utiles</t>
  </si>
  <si>
    <t>Repas</t>
  </si>
  <si>
    <t>Total Joueurs</t>
  </si>
  <si>
    <t>Webacess</t>
  </si>
  <si>
    <t>Frais paypal :</t>
  </si>
  <si>
    <t>Counter Strike : Global Offensive</t>
  </si>
  <si>
    <t>League of Legend</t>
  </si>
  <si>
    <t>Pas d'équipe</t>
  </si>
  <si>
    <t>Repas vendredi soir :</t>
  </si>
  <si>
    <t>Petit-déj samedi :</t>
  </si>
  <si>
    <t>Repas samedi midi :</t>
  </si>
  <si>
    <t>Paiements en attentes :</t>
  </si>
  <si>
    <t>Paiements validés :</t>
  </si>
  <si>
    <t>PRA 1 burger :</t>
  </si>
  <si>
    <t>PRA petit-dej</t>
  </si>
  <si>
    <t>Présent</t>
  </si>
  <si>
    <t>inscription-csgo: PAID</t>
  </si>
  <si>
    <t>inscription-csgo: UNPAID</t>
  </si>
  <si>
    <t>inscription-lol: PAID</t>
  </si>
  <si>
    <t>inscription-lol: UNPAID</t>
  </si>
  <si>
    <t>inscription-hs: PAID</t>
  </si>
  <si>
    <t>inscription-hs: UNPAID</t>
  </si>
  <si>
    <t>petit-dej-samedi: PAID</t>
  </si>
  <si>
    <t>petit-dej-samedi: UNPAID</t>
  </si>
  <si>
    <t>Sigvent</t>
  </si>
  <si>
    <t>repas-lan-sa-midi: PAID</t>
  </si>
  <si>
    <t>repas-lan-sa-midi: UNPAID</t>
  </si>
  <si>
    <t>repas-lan-sa-soir: PAID</t>
  </si>
  <si>
    <t>repas-lan-sa-soir: UNPAID</t>
  </si>
  <si>
    <t>petit-dej-dimanche: PAID</t>
  </si>
  <si>
    <t>petit-dej-dimanche: UNPAID</t>
  </si>
  <si>
    <t>repas-lan-di-midi: PAID</t>
  </si>
  <si>
    <t>repas-lan-di-midi: UNPAID</t>
  </si>
  <si>
    <t>Petit déj samedi matin</t>
  </si>
  <si>
    <t>Repas samedi soir</t>
  </si>
  <si>
    <t>Petit déj dimanche matin</t>
  </si>
  <si>
    <t>Repas dimanche midi</t>
  </si>
  <si>
    <t>Repas samedi soir :</t>
  </si>
  <si>
    <t>Petit déj dimanche :</t>
  </si>
  <si>
    <t>Repas dimanche midi :</t>
  </si>
  <si>
    <t>LOL</t>
  </si>
  <si>
    <t>-</t>
  </si>
  <si>
    <t>En attente</t>
  </si>
  <si>
    <t>Mcbarrete</t>
  </si>
  <si>
    <t>CouCouch Clan</t>
  </si>
  <si>
    <t>Virement</t>
  </si>
  <si>
    <t>Duong</t>
  </si>
  <si>
    <t>Jacky</t>
  </si>
  <si>
    <t>Anthamatten</t>
  </si>
  <si>
    <t>Marc</t>
  </si>
  <si>
    <t>Paterson</t>
  </si>
  <si>
    <t>Oceanos1</t>
  </si>
  <si>
    <t>CS:GO</t>
  </si>
  <si>
    <t>Spierer</t>
  </si>
  <si>
    <t>Michael</t>
  </si>
  <si>
    <t>Gigon</t>
  </si>
  <si>
    <t>Quentin</t>
  </si>
  <si>
    <t>Paters0n</t>
  </si>
  <si>
    <t>Cash</t>
  </si>
  <si>
    <t>-&gt; Dont étudiants :</t>
  </si>
  <si>
    <t>Transfert bancaire ou cash :</t>
  </si>
  <si>
    <t>Etudiants</t>
  </si>
  <si>
    <t>Ashe42</t>
  </si>
  <si>
    <t>Ashe#2601</t>
  </si>
  <si>
    <t>HS</t>
  </si>
  <si>
    <t>Monney</t>
  </si>
  <si>
    <t>Marilyn</t>
  </si>
  <si>
    <t>Coupon</t>
  </si>
  <si>
    <t>Payé</t>
  </si>
  <si>
    <t>Reavens</t>
  </si>
  <si>
    <t>And Another One</t>
  </si>
  <si>
    <t>Alcatraz</t>
  </si>
  <si>
    <t>Al'Kathraz</t>
  </si>
  <si>
    <t>Al'Katrhaz</t>
  </si>
  <si>
    <t>Alkathraz#2107</t>
  </si>
  <si>
    <t>michelxdlol</t>
  </si>
  <si>
    <t>En pétant</t>
  </si>
  <si>
    <t>Zae</t>
  </si>
  <si>
    <t>Saellan#2269</t>
  </si>
  <si>
    <t>E Corp</t>
  </si>
  <si>
    <t>Bagnoud</t>
  </si>
  <si>
    <t>Steve</t>
  </si>
  <si>
    <t>Gregory</t>
  </si>
  <si>
    <t>Dos Santos</t>
  </si>
  <si>
    <t>Hugo</t>
  </si>
  <si>
    <t>Rodrigues</t>
  </si>
  <si>
    <t>Anthony</t>
  </si>
  <si>
    <t>Arsenijevic</t>
  </si>
  <si>
    <t>Sacha</t>
  </si>
  <si>
    <t>ElStevyyy</t>
  </si>
  <si>
    <t>PXL Stevyyy</t>
  </si>
  <si>
    <t>PXL Gilouuu</t>
  </si>
  <si>
    <t>Perolini</t>
  </si>
  <si>
    <t>Gil</t>
  </si>
  <si>
    <t>Vaglio</t>
  </si>
  <si>
    <t>Steven</t>
  </si>
  <si>
    <t>Gilles</t>
  </si>
  <si>
    <t>Floby#2430</t>
  </si>
  <si>
    <t>AERA</t>
  </si>
  <si>
    <t>Golay</t>
  </si>
  <si>
    <t>Galadrek</t>
  </si>
  <si>
    <t>galadrek1942@hotmail.fr</t>
  </si>
  <si>
    <t>CouCouch</t>
  </si>
  <si>
    <t>CouCouch#2204</t>
  </si>
  <si>
    <t>baboune2510</t>
  </si>
  <si>
    <t>baboune251</t>
  </si>
  <si>
    <t>baboune#2749</t>
  </si>
  <si>
    <t>Brownies</t>
  </si>
  <si>
    <t>Ezehkiel</t>
  </si>
  <si>
    <t>Tilt Runs Deep With Us</t>
  </si>
  <si>
    <t>Nyamaru</t>
  </si>
  <si>
    <t>AR Evest</t>
  </si>
  <si>
    <t>Resh</t>
  </si>
  <si>
    <t>ECA Neo Resh</t>
  </si>
  <si>
    <t>Umberfury</t>
  </si>
  <si>
    <t>ELV Umberfury</t>
  </si>
  <si>
    <t>RikKkKk</t>
  </si>
  <si>
    <t xml:space="preserve">1:0:25061580  </t>
  </si>
  <si>
    <t>Fragmatic</t>
  </si>
  <si>
    <t>eSKIZ</t>
  </si>
  <si>
    <t xml:space="preserve">1:0:16065979  </t>
  </si>
  <si>
    <t>Zechodian</t>
  </si>
  <si>
    <t>Zechodian#2534</t>
  </si>
  <si>
    <t>Lostify</t>
  </si>
  <si>
    <t>Lostify#2421</t>
  </si>
  <si>
    <t>Brontor</t>
  </si>
  <si>
    <t>4 dormeurs et 1 marteau piqueur</t>
  </si>
  <si>
    <t>QH_Korea_Spirit</t>
  </si>
  <si>
    <t>QH Korea Spirit</t>
  </si>
  <si>
    <t>RaphY</t>
  </si>
  <si>
    <t>raphyleravioli</t>
  </si>
  <si>
    <t>Non</t>
  </si>
  <si>
    <t>Deathofwar</t>
  </si>
  <si>
    <t>DOW1004#2764</t>
  </si>
  <si>
    <t>E-Corp Gaming</t>
  </si>
  <si>
    <t>raghna</t>
  </si>
  <si>
    <t>Qh Raghna</t>
  </si>
  <si>
    <t>J0k3r</t>
  </si>
  <si>
    <t>QH J0k3r</t>
  </si>
  <si>
    <t>Captainduf</t>
  </si>
  <si>
    <t>supercalifragilisticexpialidocious</t>
  </si>
  <si>
    <t>Meelo</t>
  </si>
  <si>
    <t>Meelodie</t>
  </si>
  <si>
    <t>Johnson235</t>
  </si>
  <si>
    <t>SUPASiLVA</t>
  </si>
  <si>
    <t>1:1:17704553</t>
  </si>
  <si>
    <t>swoke</t>
  </si>
  <si>
    <t>Bignens</t>
  </si>
  <si>
    <t>Julien</t>
  </si>
  <si>
    <t>Poulard</t>
  </si>
  <si>
    <t>Remi</t>
  </si>
  <si>
    <t>Keller</t>
  </si>
  <si>
    <t>Moutou</t>
  </si>
  <si>
    <t>Kevin</t>
  </si>
  <si>
    <t>Kewin</t>
  </si>
  <si>
    <t>Trindade Da Silva</t>
  </si>
  <si>
    <t>Ricardo</t>
  </si>
  <si>
    <t>Feliciano</t>
  </si>
  <si>
    <t>Mickael</t>
  </si>
  <si>
    <t>Varrin</t>
  </si>
  <si>
    <t>Ludovic</t>
  </si>
  <si>
    <t>Meierhans</t>
  </si>
  <si>
    <t>Dorian</t>
  </si>
  <si>
    <t>Clivaz</t>
  </si>
  <si>
    <t>Antoine</t>
  </si>
  <si>
    <t>Perritaz</t>
  </si>
  <si>
    <t>Andeol</t>
  </si>
  <si>
    <t>Bastien</t>
  </si>
  <si>
    <t>Robadey</t>
  </si>
  <si>
    <t>Racine</t>
  </si>
  <si>
    <t>Raphaël</t>
  </si>
  <si>
    <t>Vispo Cid</t>
  </si>
  <si>
    <t>Manuel</t>
  </si>
  <si>
    <t>Ranzi</t>
  </si>
  <si>
    <t>Sébastien</t>
  </si>
  <si>
    <t>Sanders</t>
  </si>
  <si>
    <t>Jeremy</t>
  </si>
  <si>
    <t>Dufour</t>
  </si>
  <si>
    <t>Etienne</t>
  </si>
  <si>
    <t>Kaempf</t>
  </si>
  <si>
    <t>Jérôme</t>
  </si>
  <si>
    <t>Roulet</t>
  </si>
  <si>
    <t>Basile</t>
  </si>
  <si>
    <t>Da Silva</t>
  </si>
  <si>
    <t>Brandon</t>
  </si>
  <si>
    <t>Gillioz</t>
  </si>
  <si>
    <t>Paypal</t>
  </si>
  <si>
    <t>Joueur libre</t>
  </si>
  <si>
    <t>Lanzmaster</t>
  </si>
  <si>
    <t>CSG Lanzmaster</t>
  </si>
  <si>
    <t>CSG Brotherhood</t>
  </si>
  <si>
    <t>Lanz</t>
  </si>
  <si>
    <t>Christopher</t>
  </si>
  <si>
    <t>Pierre Walter</t>
  </si>
  <si>
    <t>xDarkevinlol666x</t>
  </si>
  <si>
    <t>Soupeur Hot Crew</t>
  </si>
  <si>
    <t>ecchymosis</t>
  </si>
  <si>
    <t>ecchymosis_</t>
  </si>
  <si>
    <t>Edwen</t>
  </si>
  <si>
    <t>Newdee#2666</t>
  </si>
  <si>
    <t>Zaragord</t>
  </si>
  <si>
    <t>CSG Zaragord</t>
  </si>
  <si>
    <t>Keikowah</t>
  </si>
  <si>
    <t>keikowah</t>
  </si>
  <si>
    <t>Green Pepper</t>
  </si>
  <si>
    <t>xDarkPepper666x</t>
  </si>
  <si>
    <t>Walter</t>
  </si>
  <si>
    <t>Pierre</t>
  </si>
  <si>
    <t>Pfister</t>
  </si>
  <si>
    <t>Hervé</t>
  </si>
  <si>
    <t>Champrenaud</t>
  </si>
  <si>
    <t>Vincent</t>
  </si>
  <si>
    <t>PolyLAN</t>
  </si>
  <si>
    <t>Yann</t>
  </si>
  <si>
    <t>CypressXt</t>
  </si>
  <si>
    <t>gibre</t>
  </si>
  <si>
    <t>Hampaï</t>
  </si>
  <si>
    <t>Clément</t>
  </si>
  <si>
    <t>Brechbühler</t>
  </si>
  <si>
    <t>xDarkSylvia666x</t>
  </si>
  <si>
    <t>Trap#2631</t>
  </si>
  <si>
    <t>Kimbeaux</t>
  </si>
  <si>
    <t>Tu crois tu me connais</t>
  </si>
  <si>
    <t>Piller</t>
  </si>
  <si>
    <t>Bryan</t>
  </si>
  <si>
    <t>Scherwey</t>
  </si>
  <si>
    <t>Matthias</t>
  </si>
  <si>
    <t>turalon</t>
  </si>
  <si>
    <t>Valho</t>
  </si>
  <si>
    <t>Valho7</t>
  </si>
  <si>
    <t>Atrex25</t>
  </si>
  <si>
    <t>ELV Atrex</t>
  </si>
  <si>
    <t>E-LVETS Val Hey</t>
  </si>
  <si>
    <t>MxZz</t>
  </si>
  <si>
    <t>MxZzed</t>
  </si>
  <si>
    <t>Magimiauu</t>
  </si>
  <si>
    <t>ELV Magimiauu</t>
  </si>
  <si>
    <t>StealMaster</t>
  </si>
  <si>
    <t>Stealmaster</t>
  </si>
  <si>
    <t>Etona</t>
  </si>
  <si>
    <t>ABFT etona</t>
  </si>
  <si>
    <t>Absolute Frost</t>
  </si>
  <si>
    <t>tormento</t>
  </si>
  <si>
    <t>ELV Tormento</t>
  </si>
  <si>
    <t>E-LVETS FirstStone</t>
  </si>
  <si>
    <t>Ono</t>
  </si>
  <si>
    <t>ELV Ono</t>
  </si>
  <si>
    <t>Swiiizzz</t>
  </si>
  <si>
    <t>ELV Swiiizzz</t>
  </si>
  <si>
    <t>gadio01</t>
  </si>
  <si>
    <t>GaDiioZ</t>
  </si>
  <si>
    <t>OxYsTyLe</t>
  </si>
  <si>
    <t>Steams</t>
  </si>
  <si>
    <t>Xayn</t>
  </si>
  <si>
    <t>Xélowak</t>
  </si>
  <si>
    <t>ECA Xayn</t>
  </si>
  <si>
    <t>Xelowak#2692</t>
  </si>
  <si>
    <t>ECA Jolly Chimps</t>
  </si>
  <si>
    <t>Titdody</t>
  </si>
  <si>
    <t>E corp TiltDody</t>
  </si>
  <si>
    <t>OracleArts</t>
  </si>
  <si>
    <t>ECA Oracle</t>
  </si>
  <si>
    <t>Nolax</t>
  </si>
  <si>
    <t>Lord Nolax</t>
  </si>
  <si>
    <t>Bronze Korean</t>
  </si>
  <si>
    <t>bronze korean</t>
  </si>
  <si>
    <t>Sandroo</t>
  </si>
  <si>
    <t>Thekikou989best</t>
  </si>
  <si>
    <t>là gamin</t>
  </si>
  <si>
    <t>Là Gamin</t>
  </si>
  <si>
    <t>Oxystyle</t>
  </si>
  <si>
    <t>Absolute frost</t>
  </si>
  <si>
    <t>Kushluk</t>
  </si>
  <si>
    <t>Kushluk#2492</t>
  </si>
  <si>
    <t>Enoria</t>
  </si>
  <si>
    <t>Vahlraven</t>
  </si>
  <si>
    <t>x</t>
  </si>
  <si>
    <t>koobsky</t>
  </si>
  <si>
    <t>ELV koobsky</t>
  </si>
  <si>
    <t>HIM</t>
  </si>
  <si>
    <t>HIM#2887</t>
  </si>
  <si>
    <t>Monke</t>
  </si>
  <si>
    <t>ECA Monke</t>
  </si>
  <si>
    <t>Jalley</t>
  </si>
  <si>
    <t>Valentin</t>
  </si>
  <si>
    <t>Lafaye</t>
  </si>
  <si>
    <t>Alexandre</t>
  </si>
  <si>
    <t>Carvalho</t>
  </si>
  <si>
    <t>Stéphane</t>
  </si>
  <si>
    <t>Pompilio</t>
  </si>
  <si>
    <t>Lucas</t>
  </si>
  <si>
    <t>Buffet</t>
  </si>
  <si>
    <t>Loan</t>
  </si>
  <si>
    <t>Germanier</t>
  </si>
  <si>
    <t>Thomas</t>
  </si>
  <si>
    <t>Frommherz</t>
  </si>
  <si>
    <t>Gomes</t>
  </si>
  <si>
    <t>Andres</t>
  </si>
  <si>
    <t>Bocherens</t>
  </si>
  <si>
    <t>Vulliet</t>
  </si>
  <si>
    <t>Romain</t>
  </si>
  <si>
    <t>Gadiollet</t>
  </si>
  <si>
    <t>Nathan</t>
  </si>
  <si>
    <t>Anthasit</t>
  </si>
  <si>
    <t>Michel</t>
  </si>
  <si>
    <t>Scheiter</t>
  </si>
  <si>
    <t>Kilian</t>
  </si>
  <si>
    <t>Fernandes Carvalho</t>
  </si>
  <si>
    <t>Tiago</t>
  </si>
  <si>
    <t>Martin</t>
  </si>
  <si>
    <t>Adrien</t>
  </si>
  <si>
    <t>Toumayeff</t>
  </si>
  <si>
    <t>Yoann</t>
  </si>
  <si>
    <t>figueiredo</t>
  </si>
  <si>
    <t>Sandro</t>
  </si>
  <si>
    <t>Ferrer</t>
  </si>
  <si>
    <t>Fabien</t>
  </si>
  <si>
    <t>Viatte</t>
  </si>
  <si>
    <t>Benoît</t>
  </si>
  <si>
    <t>Meyer</t>
  </si>
  <si>
    <t>Naomi</t>
  </si>
  <si>
    <t>In-Albon</t>
  </si>
  <si>
    <t>Virgil</t>
  </si>
  <si>
    <t>Tripet</t>
  </si>
  <si>
    <t>Grégoire</t>
  </si>
  <si>
    <t>Niculescu</t>
  </si>
  <si>
    <t>Alex</t>
  </si>
  <si>
    <t>Rossel</t>
  </si>
  <si>
    <t>Noé</t>
  </si>
  <si>
    <t>Wallis</t>
  </si>
  <si>
    <t>kldiep</t>
  </si>
  <si>
    <t>CptnFalcon</t>
  </si>
  <si>
    <t>Diep</t>
  </si>
  <si>
    <t>Kom Long</t>
  </si>
  <si>
    <t>PatatoGaming</t>
  </si>
  <si>
    <t>Nitrix</t>
  </si>
  <si>
    <t>Sneik75</t>
  </si>
  <si>
    <t>Marcos</t>
  </si>
  <si>
    <t>Team volcano</t>
  </si>
  <si>
    <t>OryZon Daiki</t>
  </si>
  <si>
    <t>imp Daiki</t>
  </si>
  <si>
    <t>Imperium</t>
  </si>
  <si>
    <t>muporgu</t>
  </si>
  <si>
    <t>Mupo</t>
  </si>
  <si>
    <t>Muporgu</t>
  </si>
  <si>
    <t>Meuporg#2855</t>
  </si>
  <si>
    <t>yoîchi</t>
  </si>
  <si>
    <t>tehztk</t>
  </si>
  <si>
    <t>EyeWind</t>
  </si>
  <si>
    <t>EyeWind#2573</t>
  </si>
  <si>
    <t>Zimmermann</t>
  </si>
  <si>
    <t>Théo</t>
  </si>
  <si>
    <t>Ray</t>
  </si>
  <si>
    <t>Bagi</t>
  </si>
  <si>
    <t>Louis-Alexandre</t>
  </si>
  <si>
    <t>Jacquat</t>
  </si>
  <si>
    <t>VIrement</t>
  </si>
  <si>
    <t>En0x</t>
  </si>
  <si>
    <t>ECA En0x</t>
  </si>
  <si>
    <t>Nyloth</t>
  </si>
  <si>
    <t>Mottaz</t>
  </si>
  <si>
    <t>Jeff</t>
  </si>
  <si>
    <t>Saam</t>
  </si>
  <si>
    <t>Frédéric</t>
  </si>
  <si>
    <t>swissm4n</t>
  </si>
  <si>
    <t>http://steamcommunity.com/id/swissm4n/</t>
  </si>
  <si>
    <t>Wagnières</t>
  </si>
  <si>
    <t>David</t>
  </si>
  <si>
    <t>Black Dragon</t>
  </si>
  <si>
    <t>http://steamcommunity.com/id/therealjarvice</t>
  </si>
  <si>
    <t>Swisside</t>
  </si>
  <si>
    <t>ELV Swisside</t>
  </si>
  <si>
    <t>Dinh</t>
  </si>
  <si>
    <t>Maurice</t>
  </si>
  <si>
    <t>Mayencourt</t>
  </si>
  <si>
    <t>Boris</t>
  </si>
  <si>
    <t>Chèvre</t>
  </si>
  <si>
    <t>Florent</t>
  </si>
  <si>
    <t>BDT Switzerland</t>
  </si>
  <si>
    <t>Switzerland23</t>
  </si>
  <si>
    <t>DarkLSP</t>
  </si>
  <si>
    <t>DarkLSPAlt</t>
  </si>
  <si>
    <t>Paratte</t>
  </si>
  <si>
    <t>Johan</t>
  </si>
  <si>
    <t>SSJ</t>
  </si>
  <si>
    <t>SSJ JUNGLER GOD</t>
  </si>
  <si>
    <t>Pereira</t>
  </si>
  <si>
    <t>j0hn</t>
  </si>
  <si>
    <t>STEAM_1:0:3529278</t>
  </si>
  <si>
    <t>spaceMIX</t>
  </si>
  <si>
    <t>Torrix</t>
  </si>
  <si>
    <t>swiss96</t>
  </si>
  <si>
    <t>Safir</t>
  </si>
  <si>
    <t>CSG MrSafir</t>
  </si>
  <si>
    <t>Calame</t>
  </si>
  <si>
    <t>Jonathan</t>
  </si>
  <si>
    <t>Boy</t>
  </si>
  <si>
    <t>PRAY4SCHUMI</t>
  </si>
  <si>
    <t>BozoHS</t>
  </si>
  <si>
    <t>Bozo#2842</t>
  </si>
  <si>
    <t>Qualitas Helvetica</t>
  </si>
  <si>
    <t>Gaspoz</t>
  </si>
  <si>
    <t>ratchik</t>
  </si>
  <si>
    <t>ELV Atroxe</t>
  </si>
  <si>
    <t>4lex</t>
  </si>
  <si>
    <t>Mr4lex</t>
  </si>
  <si>
    <t>Kokot polsky</t>
  </si>
  <si>
    <t>Seni8</t>
  </si>
  <si>
    <t>steamcommunity.com/id/leseni8</t>
  </si>
  <si>
    <t>Team Jarod-Infinite</t>
  </si>
  <si>
    <t>DexxM</t>
  </si>
  <si>
    <t>WhiteCross Black</t>
  </si>
  <si>
    <t>muRE</t>
  </si>
  <si>
    <t>boomker1217</t>
  </si>
  <si>
    <t>carlsoN</t>
  </si>
  <si>
    <t>1:1:18811410</t>
  </si>
  <si>
    <t>WERRO</t>
  </si>
  <si>
    <t>Chaman</t>
  </si>
  <si>
    <t>boss_unit</t>
  </si>
  <si>
    <t>Trizerrr</t>
  </si>
  <si>
    <t>Fabiom</t>
  </si>
  <si>
    <t>fabiinh0</t>
  </si>
  <si>
    <t>HerosinBang</t>
  </si>
  <si>
    <t>HB</t>
  </si>
  <si>
    <t>MaC</t>
  </si>
  <si>
    <t>spirits</t>
  </si>
  <si>
    <t>Kokot Polsky</t>
  </si>
  <si>
    <t>Olivier</t>
  </si>
  <si>
    <t>Monthoux</t>
  </si>
  <si>
    <t>Alexis</t>
  </si>
  <si>
    <t>Jegarajasingam</t>
  </si>
  <si>
    <t>Senistan</t>
  </si>
  <si>
    <t>Moreira</t>
  </si>
  <si>
    <t>Dany</t>
  </si>
  <si>
    <t>Machado</t>
  </si>
  <si>
    <t>Ruben</t>
  </si>
  <si>
    <t>Journot</t>
  </si>
  <si>
    <t>Werro</t>
  </si>
  <si>
    <t>Laurent</t>
  </si>
  <si>
    <t>Zanolin</t>
  </si>
  <si>
    <t>Maximo</t>
  </si>
  <si>
    <t>Leboucq</t>
  </si>
  <si>
    <t>Tristan</t>
  </si>
  <si>
    <t>Matos</t>
  </si>
  <si>
    <t>Fabio</t>
  </si>
  <si>
    <t>Renevey</t>
  </si>
  <si>
    <t>Timofte</t>
  </si>
  <si>
    <t>Schaufelberger</t>
  </si>
  <si>
    <t>Florian</t>
  </si>
  <si>
    <t>Haduken</t>
  </si>
  <si>
    <t>http://steamcommunity.com/profiles/76561198018474047/</t>
  </si>
  <si>
    <t>Fagioli</t>
  </si>
  <si>
    <t>Allemann</t>
  </si>
  <si>
    <t>Guillaume</t>
  </si>
  <si>
    <t>got</t>
  </si>
  <si>
    <t>xgotstarionhd</t>
  </si>
  <si>
    <t>Xargas</t>
  </si>
  <si>
    <t>O takei xargas</t>
  </si>
  <si>
    <t>E-lvet DarkWall</t>
  </si>
  <si>
    <t>Aloa</t>
  </si>
  <si>
    <t>ELV Aloa</t>
  </si>
  <si>
    <t>Mattei</t>
  </si>
  <si>
    <t>Aloïs</t>
  </si>
  <si>
    <t>Rollier</t>
  </si>
  <si>
    <t>E-lvet Darkwall</t>
  </si>
  <si>
    <t>EvolveD</t>
  </si>
  <si>
    <t>PØLø</t>
  </si>
  <si>
    <t>Giagnoli</t>
  </si>
  <si>
    <t>Szay</t>
  </si>
  <si>
    <t>Ferreira Figueiredo</t>
  </si>
  <si>
    <t>Romao Dias</t>
  </si>
  <si>
    <t>Artur</t>
  </si>
  <si>
    <t>Lombreur</t>
  </si>
  <si>
    <t>sté</t>
  </si>
  <si>
    <t>http://steamcommunity.com/profiles/76561198135769245/</t>
  </si>
  <si>
    <t>Rafii</t>
  </si>
  <si>
    <t>Porcarelli</t>
  </si>
  <si>
    <t>Stefan</t>
  </si>
  <si>
    <t>de Matos Pereira</t>
  </si>
  <si>
    <t>Rafael</t>
  </si>
  <si>
    <t>Shawn</t>
  </si>
  <si>
    <t>Perco916#2249</t>
  </si>
  <si>
    <t>Romandy Gaming</t>
  </si>
  <si>
    <t>PXL Ackyro</t>
  </si>
  <si>
    <t>PXL Ackyro7</t>
  </si>
  <si>
    <t>razzorlol</t>
  </si>
  <si>
    <t>RazzorLol</t>
  </si>
  <si>
    <t>clooz</t>
  </si>
  <si>
    <t>Junior le Bandit</t>
  </si>
  <si>
    <t>overloid</t>
  </si>
  <si>
    <t>bbaga</t>
  </si>
  <si>
    <t>Shacoca</t>
  </si>
  <si>
    <t>kinkaz</t>
  </si>
  <si>
    <t>LegenDarryl</t>
  </si>
  <si>
    <t>LegenDarryI</t>
  </si>
  <si>
    <t>Pauchard</t>
  </si>
  <si>
    <t>Samuel</t>
  </si>
  <si>
    <t>Straccia</t>
  </si>
  <si>
    <t>Mereuta</t>
  </si>
  <si>
    <t>Cristian</t>
  </si>
  <si>
    <t>Chappuis</t>
  </si>
  <si>
    <t>Ngyuen</t>
  </si>
  <si>
    <t>Thanh-Long</t>
  </si>
  <si>
    <t>Meylan</t>
  </si>
  <si>
    <t>Silvin</t>
  </si>
  <si>
    <t>Bornick</t>
  </si>
  <si>
    <t>Timothée</t>
  </si>
  <si>
    <t>Lüthi</t>
  </si>
  <si>
    <t>Darryl</t>
  </si>
  <si>
    <t>akeo</t>
  </si>
  <si>
    <t>STEAM_1:0:9070161</t>
  </si>
  <si>
    <t>ABFT Gab</t>
  </si>
  <si>
    <t>Tschabuschnig</t>
  </si>
  <si>
    <t>Gabriel</t>
  </si>
  <si>
    <t>Hilaos</t>
  </si>
  <si>
    <t>E corp Hilaos</t>
  </si>
  <si>
    <t>UKNOWPIMPIM</t>
  </si>
  <si>
    <t>misterrainbow1</t>
  </si>
  <si>
    <t>HotGuy6Pack#2663</t>
  </si>
  <si>
    <t>Aikensama</t>
  </si>
  <si>
    <t>PXL AiKen Sama</t>
  </si>
  <si>
    <t>yukaword</t>
  </si>
  <si>
    <t>https://steamcommunity.com/profiles/76561198033707891/</t>
  </si>
  <si>
    <t>ShaCoca</t>
  </si>
  <si>
    <t>Overloid CH</t>
  </si>
  <si>
    <t>LenZy</t>
  </si>
  <si>
    <t>ABFT Lenzy</t>
  </si>
  <si>
    <t>http://steamcommunity.com/id/IsTime/</t>
  </si>
  <si>
    <t>Sacavain</t>
  </si>
  <si>
    <t>xDarkavain666x</t>
  </si>
  <si>
    <t>Elentir</t>
  </si>
  <si>
    <t>RodG Elentir</t>
  </si>
  <si>
    <t>XpliciT</t>
  </si>
  <si>
    <t>http://steamcommunity.com/id/rinsXpliciT/</t>
  </si>
  <si>
    <t>Vidal</t>
  </si>
  <si>
    <t>Chardonnens</t>
  </si>
  <si>
    <t>Tomas</t>
  </si>
  <si>
    <t>Vaha</t>
  </si>
  <si>
    <t>Jordan</t>
  </si>
  <si>
    <t>Bongard</t>
  </si>
  <si>
    <t>Roch</t>
  </si>
  <si>
    <t>Junod</t>
  </si>
  <si>
    <t>Cunha</t>
  </si>
  <si>
    <t>Sylvain</t>
  </si>
  <si>
    <t>wipix</t>
  </si>
  <si>
    <t>Wipix</t>
  </si>
  <si>
    <t>Crysis</t>
  </si>
  <si>
    <t>ABFT Imaginos</t>
  </si>
  <si>
    <t>Delprete</t>
  </si>
  <si>
    <t>judolf</t>
  </si>
  <si>
    <t>judolf#2130</t>
  </si>
  <si>
    <t>Berguerand</t>
  </si>
  <si>
    <t>Didier</t>
  </si>
  <si>
    <t>WhiteCross Gaming</t>
  </si>
  <si>
    <t>Rayow</t>
  </si>
  <si>
    <t>https://steamcommunity.com/id/Rayoww/</t>
  </si>
  <si>
    <t>Gholizadeh</t>
  </si>
  <si>
    <t>Abtine</t>
  </si>
  <si>
    <t>Arkangell</t>
  </si>
  <si>
    <t>Le Franc</t>
  </si>
  <si>
    <t>almil36</t>
  </si>
  <si>
    <t>NIG alolpat</t>
  </si>
  <si>
    <t>Flykeur</t>
  </si>
  <si>
    <t>http://steamcommunity.com/id/Flykeur</t>
  </si>
  <si>
    <t>OryZon Kirai</t>
  </si>
  <si>
    <t>TSM ElvAlArtDon</t>
  </si>
  <si>
    <t>imp Riku</t>
  </si>
  <si>
    <t>Tapolet</t>
  </si>
  <si>
    <t>droidekas</t>
  </si>
  <si>
    <t>Kecks</t>
  </si>
  <si>
    <t>Sweezhy</t>
  </si>
  <si>
    <t>Wolv3rZ</t>
  </si>
  <si>
    <t>Milliet</t>
  </si>
  <si>
    <t>Alain</t>
  </si>
  <si>
    <t>Pasteur</t>
  </si>
  <si>
    <t>Monnard</t>
  </si>
  <si>
    <t>Jufer</t>
  </si>
  <si>
    <t>Guerra</t>
  </si>
  <si>
    <t>Jérémi</t>
  </si>
  <si>
    <t>Richard</t>
  </si>
  <si>
    <t>Nicolas</t>
  </si>
  <si>
    <t>Lombard</t>
  </si>
  <si>
    <t>Auray</t>
  </si>
  <si>
    <t>JAROUSSE Florian</t>
  </si>
  <si>
    <t>Oxygën</t>
  </si>
  <si>
    <t>gadio001</t>
  </si>
  <si>
    <t>OxypoXo</t>
  </si>
  <si>
    <t>Jarousse</t>
  </si>
  <si>
    <t>Penkala</t>
  </si>
  <si>
    <t>Samuel1212</t>
  </si>
  <si>
    <t>Samuel121210</t>
  </si>
  <si>
    <t>Là iLiLiLiLiLLLi</t>
  </si>
  <si>
    <t>OryZon Sharkwaves</t>
  </si>
  <si>
    <t>TheSharkwave</t>
  </si>
  <si>
    <t>Ssoap</t>
  </si>
  <si>
    <t>Hirschi</t>
  </si>
  <si>
    <t>Cochard</t>
  </si>
  <si>
    <t>Brayan</t>
  </si>
  <si>
    <t>Stuhlmann</t>
  </si>
  <si>
    <t>salty hitokuro</t>
  </si>
  <si>
    <t>Salty Hitokuro</t>
  </si>
  <si>
    <t>Bambamx</t>
  </si>
  <si>
    <t>WCR Bambamx</t>
  </si>
  <si>
    <t>soupalacourge</t>
  </si>
  <si>
    <t>Soupalacourge</t>
  </si>
  <si>
    <t>LF jungle pls</t>
  </si>
  <si>
    <t>Joël</t>
  </si>
  <si>
    <t>Peeters</t>
  </si>
  <si>
    <t>Cyril</t>
  </si>
  <si>
    <t>Sigenthaler</t>
  </si>
  <si>
    <t>Lionel</t>
  </si>
  <si>
    <t>M. Pecheur</t>
  </si>
  <si>
    <t>M.Pecheur</t>
  </si>
  <si>
    <t>Naytskai</t>
  </si>
  <si>
    <t>thundernet</t>
  </si>
  <si>
    <t>Cervera</t>
  </si>
  <si>
    <t>Mikael</t>
  </si>
  <si>
    <t>m4ttou</t>
  </si>
  <si>
    <t>Girard</t>
  </si>
  <si>
    <t>Matthieu</t>
  </si>
  <si>
    <t>shanou</t>
  </si>
  <si>
    <t>Alves</t>
  </si>
  <si>
    <t>Lea</t>
  </si>
  <si>
    <t>Crimmson</t>
  </si>
  <si>
    <t>Crimmson - Gaby</t>
  </si>
  <si>
    <t>Chocominou</t>
  </si>
  <si>
    <t>Burning pancake</t>
  </si>
  <si>
    <t>Choco minou</t>
  </si>
  <si>
    <t>Soda#2584</t>
  </si>
  <si>
    <t>Laupre</t>
  </si>
  <si>
    <t>Béard</t>
  </si>
  <si>
    <t>Timothy</t>
  </si>
  <si>
    <t>Didtoty</t>
  </si>
  <si>
    <t>Dody#2421</t>
  </si>
  <si>
    <t>Dunlirind</t>
  </si>
  <si>
    <t>Dunlirind#2916</t>
  </si>
  <si>
    <t>Diogo</t>
  </si>
  <si>
    <t>Bienati</t>
  </si>
  <si>
    <t>Tournoi League Of Legends :</t>
  </si>
  <si>
    <t>Tournoi CS:GO</t>
  </si>
  <si>
    <t>Tournoi HearthStone</t>
  </si>
  <si>
    <t>Joueurs attendus :</t>
  </si>
  <si>
    <t xml:space="preserve">Recettes attendues : </t>
  </si>
  <si>
    <t>Cash Prize :</t>
  </si>
  <si>
    <t>1ers (100 * 5)</t>
  </si>
  <si>
    <t>1ers (80 * 5)</t>
  </si>
  <si>
    <t>1ers</t>
  </si>
  <si>
    <t>2èmes (60 * 5)</t>
  </si>
  <si>
    <t>2èmes (50 * 5)</t>
  </si>
  <si>
    <t>2èmes</t>
  </si>
  <si>
    <t>3èmes (40 * 5)</t>
  </si>
  <si>
    <t>3èmes (30 * 5)</t>
  </si>
  <si>
    <t>3èmes</t>
  </si>
  <si>
    <t>Sous-total 1 :</t>
  </si>
  <si>
    <t>+ gagnants arbre FUN (26 * 5)</t>
  </si>
  <si>
    <t>1 carte HS</t>
  </si>
  <si>
    <t>+ gagnants ARAM (13 * 5)</t>
  </si>
  <si>
    <t>Sous-total 2 :</t>
  </si>
  <si>
    <t>Sommes de sous-totaux 2 :</t>
  </si>
  <si>
    <t>+ joueurs libres (6 joueurs)</t>
  </si>
  <si>
    <t>Somme disponible pour autres lots :</t>
  </si>
  <si>
    <t>Mnt</t>
  </si>
  <si>
    <t>Prévision</t>
  </si>
  <si>
    <t>Wasamen</t>
  </si>
  <si>
    <t>ShawnThePsycho</t>
  </si>
  <si>
    <t>wort05</t>
  </si>
  <si>
    <t>E corp Wort</t>
  </si>
  <si>
    <t>ELVmarksman</t>
  </si>
  <si>
    <t>ELV marksman</t>
  </si>
  <si>
    <t>qeo</t>
  </si>
  <si>
    <t>Rhod3</t>
  </si>
  <si>
    <t>Isaac</t>
  </si>
  <si>
    <t>Neuro#2161</t>
  </si>
  <si>
    <t>Pevaton</t>
  </si>
  <si>
    <t>Pevaton#2512</t>
  </si>
  <si>
    <t>Spagouse</t>
  </si>
  <si>
    <t>spagouse</t>
  </si>
  <si>
    <t>Kekstarter</t>
  </si>
  <si>
    <t>kaozsphere</t>
  </si>
  <si>
    <t>kaozzzsphere42</t>
  </si>
  <si>
    <t>R4P70R</t>
  </si>
  <si>
    <t>raptor1991chfr</t>
  </si>
  <si>
    <t>R4P70R91</t>
  </si>
  <si>
    <t>R4P70R#2377</t>
  </si>
  <si>
    <t>Salomon</t>
  </si>
  <si>
    <t>Loïc</t>
  </si>
  <si>
    <t>Silva</t>
  </si>
  <si>
    <t>Lemos</t>
  </si>
  <si>
    <t>Victor</t>
  </si>
  <si>
    <t>Rod</t>
  </si>
  <si>
    <t>Germann</t>
  </si>
  <si>
    <t>Camille-Valentin</t>
  </si>
  <si>
    <t>Bornoz</t>
  </si>
  <si>
    <t>Allenbach</t>
  </si>
  <si>
    <t>Sermet</t>
  </si>
  <si>
    <t>Joffrey</t>
  </si>
  <si>
    <t>Rosset</t>
  </si>
  <si>
    <t>Lopez</t>
  </si>
  <si>
    <t>Alejandro Nicolas</t>
  </si>
  <si>
    <t>Alejandro Nicolas Lopez</t>
  </si>
  <si>
    <t>1posheto</t>
  </si>
  <si>
    <t>monomasgrande</t>
  </si>
  <si>
    <t>schopenuhare#2320</t>
  </si>
  <si>
    <t>Nyah0n</t>
  </si>
  <si>
    <t>LeoB</t>
  </si>
  <si>
    <t>BarbouLeoMTG</t>
  </si>
  <si>
    <t>BarbouLeoMTG#2212</t>
  </si>
  <si>
    <t>Barbou</t>
  </si>
  <si>
    <t>Leonard</t>
  </si>
  <si>
    <t>Porret</t>
  </si>
  <si>
    <t>imp Twicky</t>
  </si>
  <si>
    <t>Sam Ecchi</t>
  </si>
  <si>
    <t>MadWaìfu</t>
  </si>
  <si>
    <t>Piasio</t>
  </si>
  <si>
    <t>Samantha</t>
  </si>
  <si>
    <t>Ferreira Mendonça</t>
  </si>
  <si>
    <t>05/02/2016 - 12:11</t>
  </si>
  <si>
    <t>178.197.229.99</t>
  </si>
  <si>
    <t>Mac</t>
  </si>
  <si>
    <t>Bangala</t>
  </si>
  <si>
    <t>Smartfoune</t>
  </si>
  <si>
    <t>Badalli</t>
  </si>
  <si>
    <t>Ardian</t>
  </si>
  <si>
    <t>ardianleboos</t>
  </si>
  <si>
    <t>django is back</t>
  </si>
  <si>
    <t>Fasel</t>
  </si>
  <si>
    <t>Nights</t>
  </si>
  <si>
    <t>Nights#2986</t>
  </si>
  <si>
    <t>Bourdilloud</t>
  </si>
  <si>
    <t>Audrey</t>
  </si>
  <si>
    <t>MiniBourdon</t>
  </si>
  <si>
    <t>Arthur</t>
  </si>
  <si>
    <t>Deschamps</t>
  </si>
  <si>
    <t>Spectrum</t>
  </si>
  <si>
    <t>Spectre#2639</t>
  </si>
  <si>
    <t>Monachon</t>
  </si>
  <si>
    <t>payé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</si>
</sst>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\ _€_-;\-* #,##0.00\ _€_-;_-* &quot;-&quot;??\ _€_-;_-@_-"/>
    <numFmt numFmtId="164" formatCode="_ * #,##0.00_ ;_ * \-#,##0.00_ ;_ * &quot;-&quot;??_ ;_ @_ "/>
    <numFmt numFmtId="165" formatCode="0.\-"/>
    <numFmt numFmtId="166" formatCode="&quot;fr.&quot;_ * #,##0.00_ ;_ * \-#,##0.00_ ;_ * &quot;-&quot;??_ ;_ @_ "/>
    <numFmt numFmtId="167" formatCode="###&quot;/40&quot;"/>
    <numFmt numFmtId="168" formatCode="###&quot;/120&quot;"/>
    <numFmt numFmtId="169" formatCode="###&quot;/24&quot;"/>
    <numFmt numFmtId="170" formatCode="###&quot;/10&quot;"/>
    <numFmt numFmtId="171" formatCode="_-* #,##0\ _€_-;\-* #,##0\ _€_-;_-* &quot;-&quot;??\ _€_-;_-@_-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3" borderId="10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34" borderId="0" xfId="0" applyFill="1"/>
    <xf numFmtId="0" fontId="0" fillId="33" borderId="16" xfId="0" applyFill="1" applyBorder="1"/>
    <xf numFmtId="0" fontId="0" fillId="33" borderId="15" xfId="0" applyFill="1" applyBorder="1"/>
    <xf numFmtId="0" fontId="0" fillId="33" borderId="16" xfId="0" applyFill="1" applyBorder="1" applyAlignment="1">
      <alignment horizontal="center"/>
    </xf>
    <xf numFmtId="0" fontId="0" fillId="33" borderId="15" xfId="0" quotePrefix="1" applyFill="1" applyBorder="1"/>
    <xf numFmtId="0" fontId="0" fillId="34" borderId="16" xfId="0" applyFill="1" applyBorder="1"/>
    <xf numFmtId="0" fontId="0" fillId="33" borderId="17" xfId="0" applyFill="1" applyBorder="1"/>
    <xf numFmtId="166" fontId="0" fillId="33" borderId="16" xfId="42" applyNumberFormat="1" applyFont="1" applyFill="1" applyBorder="1"/>
    <xf numFmtId="0" fontId="16" fillId="33" borderId="28" xfId="0" applyFont="1" applyFill="1" applyBorder="1"/>
    <xf numFmtId="0" fontId="16" fillId="33" borderId="26" xfId="0" applyFont="1" applyFill="1" applyBorder="1" applyAlignment="1">
      <alignment horizontal="center"/>
    </xf>
    <xf numFmtId="0" fontId="0" fillId="33" borderId="15" xfId="0" applyFill="1" applyBorder="1" applyAlignment="1">
      <alignment horizontal="right"/>
    </xf>
    <xf numFmtId="0" fontId="0" fillId="33" borderId="15" xfId="0" quotePrefix="1" applyFill="1" applyBorder="1" applyAlignment="1">
      <alignment horizontal="right"/>
    </xf>
    <xf numFmtId="166" fontId="16" fillId="33" borderId="26" xfId="0" applyNumberFormat="1" applyFont="1" applyFill="1" applyBorder="1"/>
    <xf numFmtId="0" fontId="16" fillId="33" borderId="16" xfId="0" applyFont="1" applyFill="1" applyBorder="1"/>
    <xf numFmtId="0" fontId="16" fillId="33" borderId="27" xfId="0" applyFont="1" applyFill="1" applyBorder="1" applyAlignment="1">
      <alignment horizontal="left"/>
    </xf>
    <xf numFmtId="0" fontId="16" fillId="33" borderId="28" xfId="0" quotePrefix="1" applyFont="1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14" xfId="0" applyFill="1" applyBorder="1" applyAlignment="1">
      <alignment horizontal="left"/>
    </xf>
    <xf numFmtId="0" fontId="0" fillId="0" borderId="14" xfId="0" applyFill="1" applyBorder="1"/>
    <xf numFmtId="0" fontId="0" fillId="0" borderId="14" xfId="0" quotePrefix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165" fontId="0" fillId="0" borderId="14" xfId="0" applyNumberFormat="1" applyFill="1" applyBorder="1" applyAlignment="1">
      <alignment horizontal="right"/>
    </xf>
    <xf numFmtId="0" fontId="0" fillId="0" borderId="10" xfId="0" applyFill="1" applyBorder="1" applyAlignment="1">
      <alignment horizontal="left"/>
    </xf>
    <xf numFmtId="0" fontId="0" fillId="0" borderId="10" xfId="0" applyFill="1" applyBorder="1"/>
    <xf numFmtId="0" fontId="0" fillId="0" borderId="10" xfId="0" quotePrefix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65" fontId="0" fillId="0" borderId="10" xfId="0" applyNumberFormat="1" applyFill="1" applyBorder="1" applyAlignment="1">
      <alignment horizontal="right"/>
    </xf>
    <xf numFmtId="0" fontId="0" fillId="0" borderId="14" xfId="0" quotePrefix="1" applyFill="1" applyBorder="1" applyAlignment="1">
      <alignment horizontal="left"/>
    </xf>
    <xf numFmtId="0" fontId="0" fillId="0" borderId="10" xfId="0" quotePrefix="1" applyFill="1" applyBorder="1" applyAlignment="1">
      <alignment horizontal="left"/>
    </xf>
    <xf numFmtId="0" fontId="0" fillId="0" borderId="0" xfId="0" applyBorder="1"/>
    <xf numFmtId="0" fontId="0" fillId="33" borderId="16" xfId="0" applyFont="1" applyFill="1" applyBorder="1" applyAlignment="1"/>
    <xf numFmtId="0" fontId="16" fillId="34" borderId="10" xfId="0" applyFont="1" applyFill="1" applyBorder="1"/>
    <xf numFmtId="0" fontId="16" fillId="33" borderId="10" xfId="0" applyFont="1" applyFill="1" applyBorder="1" applyAlignment="1">
      <alignment horizontal="center" vertical="center"/>
    </xf>
    <xf numFmtId="0" fontId="0" fillId="34" borderId="0" xfId="0" applyFont="1" applyFill="1" applyAlignment="1">
      <alignment horizontal="center" vertical="center"/>
    </xf>
    <xf numFmtId="167" fontId="0" fillId="33" borderId="16" xfId="0" applyNumberFormat="1" applyFill="1" applyBorder="1" applyAlignment="1">
      <alignment horizontal="center"/>
    </xf>
    <xf numFmtId="0" fontId="0" fillId="33" borderId="17" xfId="0" applyFill="1" applyBorder="1" applyAlignment="1"/>
    <xf numFmtId="0" fontId="0" fillId="35" borderId="15" xfId="0" applyFill="1" applyBorder="1"/>
    <xf numFmtId="0" fontId="0" fillId="35" borderId="16" xfId="0" applyFill="1" applyBorder="1"/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16" fillId="35" borderId="15" xfId="0" applyFont="1" applyFill="1" applyBorder="1"/>
    <xf numFmtId="0" fontId="16" fillId="35" borderId="16" xfId="0" applyFont="1" applyFill="1" applyBorder="1"/>
    <xf numFmtId="0" fontId="0" fillId="34" borderId="15" xfId="0" applyFill="1" applyBorder="1"/>
    <xf numFmtId="0" fontId="16" fillId="34" borderId="0" xfId="0" applyFont="1" applyFill="1"/>
    <xf numFmtId="0" fontId="0" fillId="34" borderId="0" xfId="0" applyFill="1" applyAlignment="1">
      <alignment horizontal="center"/>
    </xf>
    <xf numFmtId="2" fontId="0" fillId="34" borderId="0" xfId="0" applyNumberFormat="1" applyFill="1"/>
    <xf numFmtId="0" fontId="0" fillId="36" borderId="0" xfId="0" applyFill="1"/>
    <xf numFmtId="0" fontId="0" fillId="36" borderId="0" xfId="0" applyFill="1" applyAlignment="1">
      <alignment horizontal="center"/>
    </xf>
    <xf numFmtId="2" fontId="0" fillId="36" borderId="0" xfId="0" applyNumberFormat="1" applyFill="1"/>
    <xf numFmtId="164" fontId="19" fillId="34" borderId="0" xfId="42" applyFont="1" applyFill="1"/>
    <xf numFmtId="0" fontId="0" fillId="36" borderId="0" xfId="0" applyFill="1" applyBorder="1"/>
    <xf numFmtId="0" fontId="0" fillId="36" borderId="0" xfId="0" applyFill="1" applyBorder="1" applyAlignment="1">
      <alignment horizontal="center"/>
    </xf>
    <xf numFmtId="2" fontId="0" fillId="36" borderId="0" xfId="0" applyNumberFormat="1" applyFill="1" applyBorder="1"/>
    <xf numFmtId="0" fontId="0" fillId="36" borderId="30" xfId="0" applyFill="1" applyBorder="1"/>
    <xf numFmtId="0" fontId="0" fillId="36" borderId="30" xfId="0" applyFill="1" applyBorder="1" applyAlignment="1">
      <alignment horizontal="center"/>
    </xf>
    <xf numFmtId="2" fontId="0" fillId="36" borderId="30" xfId="0" applyNumberFormat="1" applyFill="1" applyBorder="1"/>
    <xf numFmtId="0" fontId="20" fillId="0" borderId="14" xfId="0" applyFont="1" applyFill="1" applyBorder="1" applyAlignment="1">
      <alignment horizontal="left"/>
    </xf>
    <xf numFmtId="0" fontId="20" fillId="0" borderId="1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21" fillId="0" borderId="14" xfId="0" applyFont="1" applyFill="1" applyBorder="1" applyAlignment="1">
      <alignment horizontal="center"/>
    </xf>
    <xf numFmtId="0" fontId="21" fillId="0" borderId="14" xfId="0" quotePrefix="1" applyFont="1" applyFill="1" applyBorder="1" applyAlignment="1">
      <alignment horizontal="center"/>
    </xf>
    <xf numFmtId="0" fontId="0" fillId="33" borderId="15" xfId="0" applyFill="1" applyBorder="1"/>
    <xf numFmtId="0" fontId="0" fillId="33" borderId="17" xfId="0" applyFill="1" applyBorder="1"/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Border="1" applyAlignment="1">
      <alignment horizontal="center" vertical="top" wrapText="1"/>
    </xf>
    <xf numFmtId="0" fontId="16" fillId="34" borderId="15" xfId="0" applyFont="1" applyFill="1" applyBorder="1" applyAlignment="1">
      <alignment horizontal="center"/>
    </xf>
    <xf numFmtId="0" fontId="16" fillId="34" borderId="16" xfId="0" applyFont="1" applyFill="1" applyBorder="1" applyAlignment="1">
      <alignment horizontal="center"/>
    </xf>
    <xf numFmtId="0" fontId="16" fillId="33" borderId="15" xfId="0" applyFont="1" applyFill="1" applyBorder="1" applyAlignment="1">
      <alignment horizontal="center" vertical="center"/>
    </xf>
    <xf numFmtId="0" fontId="16" fillId="33" borderId="16" xfId="0" applyFont="1" applyFill="1" applyBorder="1" applyAlignment="1">
      <alignment horizontal="center" vertical="center"/>
    </xf>
    <xf numFmtId="0" fontId="0" fillId="33" borderId="15" xfId="0" applyFill="1" applyBorder="1"/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Fill="1" applyBorder="1" applyAlignment="1">
      <alignment horizontal="center"/>
    </xf>
    <xf numFmtId="0" fontId="20" fillId="0" borderId="14" xfId="0" quotePrefix="1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0" xfId="0" applyFont="1"/>
    <xf numFmtId="0" fontId="0" fillId="35" borderId="15" xfId="0" quotePrefix="1" applyFill="1" applyBorder="1"/>
    <xf numFmtId="0" fontId="20" fillId="35" borderId="15" xfId="0" applyFont="1" applyFill="1" applyBorder="1"/>
    <xf numFmtId="0" fontId="20" fillId="35" borderId="16" xfId="0" applyFont="1" applyFill="1" applyBorder="1"/>
    <xf numFmtId="0" fontId="20" fillId="35" borderId="15" xfId="0" quotePrefix="1" applyFont="1" applyFill="1" applyBorder="1"/>
    <xf numFmtId="168" fontId="0" fillId="33" borderId="16" xfId="0" applyNumberFormat="1" applyFill="1" applyBorder="1" applyAlignment="1">
      <alignment horizontal="center"/>
    </xf>
    <xf numFmtId="169" fontId="0" fillId="33" borderId="16" xfId="0" applyNumberFormat="1" applyFill="1" applyBorder="1" applyAlignment="1">
      <alignment horizontal="center"/>
    </xf>
    <xf numFmtId="170" fontId="0" fillId="33" borderId="16" xfId="0" applyNumberFormat="1" applyFill="1" applyBorder="1" applyAlignment="1">
      <alignment horizontal="center"/>
    </xf>
    <xf numFmtId="0" fontId="0" fillId="0" borderId="0" xfId="0"/>
    <xf numFmtId="0" fontId="0" fillId="0" borderId="0" xfId="0"/>
    <xf numFmtId="0" fontId="27" fillId="37" borderId="0" xfId="0" applyFont="1" applyFill="1"/>
    <xf numFmtId="0" fontId="0" fillId="37" borderId="0" xfId="0" applyFill="1"/>
    <xf numFmtId="171" fontId="0" fillId="37" borderId="0" xfId="42" applyNumberFormat="1" applyFont="1" applyFill="1"/>
    <xf numFmtId="0" fontId="16" fillId="37" borderId="0" xfId="0" applyFont="1" applyFill="1"/>
    <xf numFmtId="0" fontId="0" fillId="37" borderId="0" xfId="0" quotePrefix="1" applyFill="1"/>
    <xf numFmtId="43" fontId="16" fillId="36" borderId="27" xfId="42" applyNumberFormat="1" applyFont="1" applyFill="1" applyBorder="1" applyAlignment="1">
      <alignment horizontal="right"/>
    </xf>
    <xf numFmtId="43" fontId="16" fillId="36" borderId="27" xfId="42" applyNumberFormat="1" applyFont="1" applyFill="1" applyBorder="1"/>
    <xf numFmtId="0" fontId="26" fillId="36" borderId="18" xfId="0" applyFont="1" applyFill="1" applyBorder="1"/>
    <xf numFmtId="171" fontId="27" fillId="36" borderId="19" xfId="42" applyNumberFormat="1" applyFont="1" applyFill="1" applyBorder="1"/>
    <xf numFmtId="0" fontId="27" fillId="36" borderId="20" xfId="0" applyFont="1" applyFill="1" applyBorder="1"/>
    <xf numFmtId="0" fontId="0" fillId="36" borderId="21" xfId="0" applyFill="1" applyBorder="1"/>
    <xf numFmtId="171" fontId="0" fillId="36" borderId="22" xfId="42" applyNumberFormat="1" applyFont="1" applyFill="1" applyBorder="1" applyAlignment="1">
      <alignment horizontal="right"/>
    </xf>
    <xf numFmtId="43" fontId="16" fillId="36" borderId="22" xfId="42" applyNumberFormat="1" applyFont="1" applyFill="1" applyBorder="1" applyAlignment="1">
      <alignment horizontal="right"/>
    </xf>
    <xf numFmtId="43" fontId="0" fillId="36" borderId="0" xfId="42" applyNumberFormat="1" applyFont="1" applyFill="1" applyBorder="1" applyAlignment="1">
      <alignment horizontal="right"/>
    </xf>
    <xf numFmtId="0" fontId="0" fillId="36" borderId="22" xfId="0" applyFill="1" applyBorder="1"/>
    <xf numFmtId="0" fontId="16" fillId="36" borderId="21" xfId="0" applyFont="1" applyFill="1" applyBorder="1"/>
    <xf numFmtId="43" fontId="16" fillId="36" borderId="0" xfId="42" applyNumberFormat="1" applyFont="1" applyFill="1" applyBorder="1" applyAlignment="1">
      <alignment horizontal="right"/>
    </xf>
    <xf numFmtId="0" fontId="16" fillId="36" borderId="22" xfId="0" applyFont="1" applyFill="1" applyBorder="1"/>
    <xf numFmtId="43" fontId="16" fillId="36" borderId="22" xfId="0" applyNumberFormat="1" applyFont="1" applyFill="1" applyBorder="1"/>
    <xf numFmtId="43" fontId="16" fillId="36" borderId="26" xfId="42" applyNumberFormat="1" applyFont="1" applyFill="1" applyBorder="1" applyAlignment="1">
      <alignment horizontal="right"/>
    </xf>
    <xf numFmtId="43" fontId="0" fillId="36" borderId="22" xfId="42" applyNumberFormat="1" applyFont="1" applyFill="1" applyBorder="1"/>
    <xf numFmtId="0" fontId="0" fillId="36" borderId="21" xfId="0" quotePrefix="1" applyFill="1" applyBorder="1"/>
    <xf numFmtId="0" fontId="0" fillId="36" borderId="24" xfId="0" applyFill="1" applyBorder="1"/>
    <xf numFmtId="9" fontId="0" fillId="37" borderId="0" xfId="44" applyFont="1" applyFill="1" applyAlignment="1">
      <alignment horizontal="left"/>
    </xf>
    <xf numFmtId="0" fontId="27" fillId="36" borderId="19" xfId="0" applyFont="1" applyFill="1" applyBorder="1"/>
    <xf numFmtId="0" fontId="27" fillId="36" borderId="22" xfId="0" applyFont="1" applyFill="1" applyBorder="1"/>
    <xf numFmtId="171" fontId="0" fillId="36" borderId="0" xfId="42" applyNumberFormat="1" applyFont="1" applyFill="1" applyBorder="1" applyAlignment="1">
      <alignment horizontal="right"/>
    </xf>
    <xf numFmtId="0" fontId="16" fillId="36" borderId="0" xfId="0" applyFont="1" applyFill="1" applyBorder="1"/>
    <xf numFmtId="43" fontId="16" fillId="36" borderId="0" xfId="0" applyNumberFormat="1" applyFont="1" applyFill="1" applyBorder="1"/>
    <xf numFmtId="43" fontId="0" fillId="36" borderId="0" xfId="42" applyNumberFormat="1" applyFont="1" applyFill="1" applyBorder="1"/>
    <xf numFmtId="0" fontId="0" fillId="36" borderId="25" xfId="0" applyFill="1" applyBorder="1"/>
    <xf numFmtId="171" fontId="0" fillId="37" borderId="0" xfId="42" applyNumberFormat="1" applyFont="1" applyFill="1" applyAlignment="1">
      <alignment horizontal="left"/>
    </xf>
    <xf numFmtId="43" fontId="16" fillId="36" borderId="0" xfId="42" applyNumberFormat="1" applyFont="1" applyFill="1" applyBorder="1"/>
    <xf numFmtId="0" fontId="0" fillId="36" borderId="23" xfId="0" applyFill="1" applyBorder="1"/>
    <xf numFmtId="164" fontId="0" fillId="36" borderId="0" xfId="42" applyFont="1" applyFill="1" applyBorder="1"/>
    <xf numFmtId="164" fontId="16" fillId="36" borderId="0" xfId="42" applyFont="1" applyFill="1" applyBorder="1"/>
    <xf numFmtId="0" fontId="26" fillId="36" borderId="21" xfId="0" applyFont="1" applyFill="1" applyBorder="1"/>
    <xf numFmtId="171" fontId="27" fillId="36" borderId="0" xfId="42" applyNumberFormat="1" applyFont="1" applyFill="1" applyBorder="1"/>
    <xf numFmtId="0" fontId="27" fillId="36" borderId="0" xfId="0" applyFont="1" applyFill="1" applyBorder="1"/>
    <xf numFmtId="0" fontId="28" fillId="36" borderId="0" xfId="0" applyFont="1" applyFill="1" applyBorder="1" applyAlignment="1">
      <alignment horizontal="center"/>
    </xf>
    <xf numFmtId="0" fontId="28" fillId="36" borderId="22" xfId="0" applyFont="1" applyFill="1" applyBorder="1" applyAlignment="1">
      <alignment horizontal="left"/>
    </xf>
    <xf numFmtId="43" fontId="0" fillId="36" borderId="24" xfId="42" applyNumberFormat="1" applyFont="1" applyFill="1" applyBorder="1"/>
    <xf numFmtId="171" fontId="0" fillId="36" borderId="24" xfId="42" applyNumberFormat="1" applyFont="1" applyFill="1" applyBorder="1"/>
    <xf numFmtId="43" fontId="0" fillId="36" borderId="25" xfId="42" applyNumberFormat="1" applyFont="1" applyFill="1" applyBorder="1"/>
    <xf numFmtId="43" fontId="16" fillId="36" borderId="26" xfId="42" applyNumberFormat="1" applyFont="1" applyFill="1" applyBorder="1"/>
    <xf numFmtId="171" fontId="0" fillId="36" borderId="22" xfId="42" applyNumberFormat="1" applyFont="1" applyFill="1" applyBorder="1"/>
    <xf numFmtId="43" fontId="16" fillId="36" borderId="22" xfId="42" applyNumberFormat="1" applyFont="1" applyFill="1" applyBorder="1"/>
    <xf numFmtId="2" fontId="16" fillId="36" borderId="26" xfId="42" applyNumberFormat="1" applyFont="1" applyFill="1" applyBorder="1" applyAlignment="1">
      <alignment horizontal="center"/>
    </xf>
    <xf numFmtId="0" fontId="0" fillId="0" borderId="14" xfId="0" applyFont="1" applyFill="1" applyBorder="1" applyAlignment="1">
      <alignment horizontal="left"/>
    </xf>
    <xf numFmtId="0" fontId="0" fillId="0" borderId="10" xfId="0" applyBorder="1"/>
    <xf numFmtId="0" fontId="0" fillId="0" borderId="10" xfId="0" applyFont="1" applyFill="1" applyBorder="1" applyAlignment="1">
      <alignment horizontal="left"/>
    </xf>
    <xf numFmtId="0" fontId="0" fillId="0" borderId="14" xfId="0" applyFont="1" applyFill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20" fillId="0" borderId="14" xfId="0" applyFont="1" applyFill="1" applyBorder="1"/>
    <xf numFmtId="0" fontId="0" fillId="0" borderId="14" xfId="0" applyFont="1" applyFill="1" applyBorder="1"/>
    <xf numFmtId="0" fontId="0" fillId="0" borderId="14" xfId="0" applyBorder="1"/>
    <xf numFmtId="0" fontId="0" fillId="0" borderId="0" xfId="0" applyFill="1" applyBorder="1"/>
    <xf numFmtId="0" fontId="16" fillId="33" borderId="15" xfId="0" applyFont="1" applyFill="1" applyBorder="1" applyAlignment="1">
      <alignment horizontal="center" vertical="center"/>
    </xf>
    <xf numFmtId="0" fontId="16" fillId="33" borderId="17" xfId="0" applyFont="1" applyFill="1" applyBorder="1" applyAlignment="1">
      <alignment horizontal="center" vertical="center"/>
    </xf>
    <xf numFmtId="0" fontId="16" fillId="33" borderId="16" xfId="0" applyFont="1" applyFill="1" applyBorder="1" applyAlignment="1">
      <alignment horizontal="center" vertical="center"/>
    </xf>
    <xf numFmtId="0" fontId="18" fillId="34" borderId="15" xfId="43" applyFill="1" applyBorder="1" applyAlignment="1">
      <alignment horizontal="center" vertical="center"/>
    </xf>
    <xf numFmtId="0" fontId="18" fillId="34" borderId="17" xfId="43" applyFill="1" applyBorder="1" applyAlignment="1">
      <alignment horizontal="center" vertical="center"/>
    </xf>
    <xf numFmtId="0" fontId="18" fillId="34" borderId="16" xfId="43" applyFill="1" applyBorder="1" applyAlignment="1">
      <alignment horizontal="center" vertical="center"/>
    </xf>
    <xf numFmtId="0" fontId="0" fillId="33" borderId="15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0" fillId="34" borderId="29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7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16" fillId="33" borderId="15" xfId="0" applyFont="1" applyFill="1" applyBorder="1" applyAlignment="1">
      <alignment horizontal="left"/>
    </xf>
    <xf numFmtId="0" fontId="16" fillId="33" borderId="17" xfId="0" applyFont="1" applyFill="1" applyBorder="1" applyAlignment="1">
      <alignment horizontal="left"/>
    </xf>
    <xf numFmtId="0" fontId="16" fillId="33" borderId="16" xfId="0" applyFont="1" applyFill="1" applyBorder="1" applyAlignment="1">
      <alignment horizontal="left"/>
    </xf>
    <xf numFmtId="0" fontId="0" fillId="33" borderId="15" xfId="0" applyFill="1" applyBorder="1"/>
    <xf numFmtId="0" fontId="0" fillId="33" borderId="17" xfId="0" applyFill="1" applyBorder="1"/>
    <xf numFmtId="0" fontId="18" fillId="33" borderId="18" xfId="43" applyFill="1" applyBorder="1" applyAlignment="1">
      <alignment horizontal="center" vertical="center"/>
    </xf>
    <xf numFmtId="0" fontId="18" fillId="33" borderId="19" xfId="43" applyFill="1" applyBorder="1" applyAlignment="1">
      <alignment horizontal="center" vertical="center"/>
    </xf>
    <xf numFmtId="0" fontId="18" fillId="33" borderId="20" xfId="43" applyFill="1" applyBorder="1" applyAlignment="1">
      <alignment horizontal="center" vertical="center"/>
    </xf>
    <xf numFmtId="0" fontId="18" fillId="33" borderId="21" xfId="43" applyFill="1" applyBorder="1" applyAlignment="1">
      <alignment horizontal="center" vertical="center"/>
    </xf>
    <xf numFmtId="0" fontId="18" fillId="33" borderId="0" xfId="43" applyFill="1" applyBorder="1" applyAlignment="1">
      <alignment horizontal="center" vertical="center"/>
    </xf>
    <xf numFmtId="0" fontId="18" fillId="33" borderId="22" xfId="43" applyFill="1" applyBorder="1" applyAlignment="1">
      <alignment horizontal="center" vertical="center"/>
    </xf>
    <xf numFmtId="0" fontId="18" fillId="33" borderId="23" xfId="43" applyFill="1" applyBorder="1" applyAlignment="1">
      <alignment horizontal="center" vertical="center"/>
    </xf>
    <xf numFmtId="0" fontId="18" fillId="33" borderId="24" xfId="43" applyFill="1" applyBorder="1" applyAlignment="1">
      <alignment horizontal="center" vertical="center"/>
    </xf>
    <xf numFmtId="0" fontId="18" fillId="33" borderId="25" xfId="43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7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0" fillId="34" borderId="24" xfId="0" applyFill="1" applyBorder="1" applyAlignment="1">
      <alignment horizontal="center" vertical="center"/>
    </xf>
    <xf numFmtId="0" fontId="0" fillId="34" borderId="25" xfId="0" applyFill="1" applyBorder="1" applyAlignment="1">
      <alignment horizontal="center" vertical="center"/>
    </xf>
    <xf numFmtId="0" fontId="0" fillId="34" borderId="15" xfId="0" quotePrefix="1" applyFill="1" applyBorder="1" applyAlignment="1">
      <alignment horizontal="center"/>
    </xf>
    <xf numFmtId="0" fontId="0" fillId="34" borderId="17" xfId="0" quotePrefix="1" applyFill="1" applyBorder="1" applyAlignment="1">
      <alignment horizontal="center"/>
    </xf>
    <xf numFmtId="0" fontId="0" fillId="34" borderId="16" xfId="0" quotePrefix="1" applyFill="1" applyBorder="1" applyAlignment="1">
      <alignment horizontal="center"/>
    </xf>
    <xf numFmtId="0" fontId="0" fillId="34" borderId="15" xfId="0" quotePrefix="1" applyFill="1" applyBorder="1" applyAlignment="1">
      <alignment horizontal="right"/>
    </xf>
    <xf numFmtId="0" fontId="0" fillId="34" borderId="17" xfId="0" quotePrefix="1" applyFill="1" applyBorder="1" applyAlignment="1">
      <alignment horizontal="right"/>
    </xf>
    <xf numFmtId="0" fontId="0" fillId="34" borderId="16" xfId="0" quotePrefix="1" applyFill="1" applyBorder="1" applyAlignment="1">
      <alignment horizontal="right"/>
    </xf>
    <xf numFmtId="0" fontId="0" fillId="33" borderId="15" xfId="0" applyFont="1" applyFill="1" applyBorder="1"/>
    <xf numFmtId="0" fontId="0" fillId="33" borderId="17" xfId="0" applyFont="1" applyFill="1" applyBorder="1"/>
    <xf numFmtId="0" fontId="16" fillId="33" borderId="28" xfId="0" applyFont="1" applyFill="1" applyBorder="1" applyAlignment="1">
      <alignment horizontal="left"/>
    </xf>
    <xf numFmtId="0" fontId="16" fillId="33" borderId="27" xfId="0" applyFont="1" applyFill="1" applyBorder="1" applyAlignment="1">
      <alignment horizontal="left"/>
    </xf>
    <xf numFmtId="0" fontId="16" fillId="34" borderId="15" xfId="0" applyFont="1" applyFill="1" applyBorder="1" applyAlignment="1">
      <alignment horizontal="left"/>
    </xf>
    <xf numFmtId="0" fontId="16" fillId="34" borderId="17" xfId="0" applyFont="1" applyFill="1" applyBorder="1" applyAlignment="1">
      <alignment horizontal="left"/>
    </xf>
    <xf numFmtId="0" fontId="16" fillId="34" borderId="16" xfId="0" applyFont="1" applyFill="1" applyBorder="1" applyAlignment="1">
      <alignment horizontal="left"/>
    </xf>
    <xf numFmtId="0" fontId="16" fillId="34" borderId="15" xfId="0" applyFont="1" applyFill="1" applyBorder="1" applyAlignment="1">
      <alignment horizontal="center"/>
    </xf>
    <xf numFmtId="0" fontId="16" fillId="34" borderId="17" xfId="0" applyFont="1" applyFill="1" applyBorder="1" applyAlignment="1">
      <alignment horizontal="center"/>
    </xf>
    <xf numFmtId="0" fontId="16" fillId="34" borderId="16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0" fontId="16" fillId="35" borderId="16" xfId="0" applyFont="1" applyFill="1" applyBorder="1" applyAlignment="1">
      <alignment horizontal="center"/>
    </xf>
    <xf numFmtId="0" fontId="0" fillId="34" borderId="0" xfId="0" applyFill="1" applyAlignment="1">
      <alignment horizontal="center"/>
    </xf>
  </cellXfs>
  <cellStyles count="45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3" builtinId="8"/>
    <cellStyle name="Milliers" xfId="42" builtinId="3"/>
    <cellStyle name="Neutre" xfId="8" builtinId="28" customBuiltin="1"/>
    <cellStyle name="Normal" xfId="0" builtinId="0"/>
    <cellStyle name="Note" xfId="15" builtinId="10" customBuiltin="1"/>
    <cellStyle name="Pourcentage" xfId="44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9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E87118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E87118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E87118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E87118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E87118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E87118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E87118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 patternType="solid"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99"/>
      <color rgb="FFE871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Participation tournois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190390937974862"/>
          <c:y val="0.23174619873685381"/>
          <c:w val="0.35971929824561405"/>
          <c:h val="0.70752227547159308"/>
        </c:manualLayout>
      </c:layout>
      <c:pieChart>
        <c:varyColors val="1"/>
        <c:ser>
          <c:idx val="0"/>
          <c:order val="0"/>
          <c:tx>
            <c:v>Participation tournoi</c:v>
          </c:tx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AC-4C9C-B729-5A8EC1041C2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AC-4C9C-B729-5A8EC1041C2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2AC-4C9C-B729-5A8EC1041C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'Tableau de bord'!$B$10:$B$12</c:f>
              <c:strCache>
                <c:ptCount val="3"/>
                <c:pt idx="0">
                  <c:v>Counter Strike : Global Offensive</c:v>
                </c:pt>
                <c:pt idx="1">
                  <c:v>League of Legend</c:v>
                </c:pt>
                <c:pt idx="2">
                  <c:v>HearthStone</c:v>
                </c:pt>
              </c:strCache>
            </c:strRef>
          </c:cat>
          <c:val>
            <c:numRef>
              <c:f>'Tableau de bord'!$C$10:$C$12</c:f>
              <c:numCache>
                <c:formatCode>###"/120"</c:formatCode>
                <c:ptCount val="3"/>
                <c:pt idx="0" formatCode="###&quot;/40&quot;">
                  <c:v>41</c:v>
                </c:pt>
                <c:pt idx="1">
                  <c:v>108</c:v>
                </c:pt>
                <c:pt idx="2" formatCode="###&quot;/24&quot;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C-4C9C-B729-5A8EC1041C2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b" anchorCtr="0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://www.postfinance.ch/" TargetMode="External"/><Relationship Id="rId7" Type="http://schemas.openxmlformats.org/officeDocument/2006/relationships/hyperlink" Target="http://festigeek.ch/webaccess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paypal.com/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://www.festigeek.ch/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jpe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10</xdr:row>
          <xdr:rowOff>104775</xdr:rowOff>
        </xdr:from>
        <xdr:to>
          <xdr:col>19</xdr:col>
          <xdr:colOff>628650</xdr:colOff>
          <xdr:row>14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Valider paiements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13</xdr:row>
      <xdr:rowOff>1</xdr:rowOff>
    </xdr:from>
    <xdr:to>
      <xdr:col>15</xdr:col>
      <xdr:colOff>0</xdr:colOff>
      <xdr:row>16</xdr:row>
      <xdr:rowOff>190501</xdr:rowOff>
    </xdr:to>
    <xdr:grpSp>
      <xdr:nvGrpSpPr>
        <xdr:cNvPr id="20" name="Groupe 19"/>
        <xdr:cNvGrpSpPr/>
      </xdr:nvGrpSpPr>
      <xdr:grpSpPr>
        <a:xfrm>
          <a:off x="8582025" y="2495551"/>
          <a:ext cx="1809750" cy="781050"/>
          <a:chOff x="8410575" y="2495551"/>
          <a:chExt cx="1809750" cy="771525"/>
        </a:xfrm>
      </xdr:grpSpPr>
      <xdr:sp macro="" textlink="">
        <xdr:nvSpPr>
          <xdr:cNvPr id="15" name="Rectangle 14">
            <a:hlinkClick xmlns:r="http://schemas.openxmlformats.org/officeDocument/2006/relationships" r:id="rId1"/>
          </xdr:cNvPr>
          <xdr:cNvSpPr/>
        </xdr:nvSpPr>
        <xdr:spPr>
          <a:xfrm>
            <a:off x="8410575" y="2495551"/>
            <a:ext cx="1809750" cy="77152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H" sz="1100"/>
          </a:p>
        </xdr:txBody>
      </xdr:sp>
      <xdr:pic>
        <xdr:nvPicPr>
          <xdr:cNvPr id="7" name="Image 6" descr="https://glowhost.com/images/paypal-iphone.png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4500" t="16667" r="24750" b="16333"/>
          <a:stretch/>
        </xdr:blipFill>
        <xdr:spPr bwMode="auto">
          <a:xfrm>
            <a:off x="9020175" y="2565867"/>
            <a:ext cx="628649" cy="6449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12</xdr:col>
      <xdr:colOff>0</xdr:colOff>
      <xdr:row>8</xdr:row>
      <xdr:rowOff>0</xdr:rowOff>
    </xdr:from>
    <xdr:to>
      <xdr:col>15</xdr:col>
      <xdr:colOff>0</xdr:colOff>
      <xdr:row>12</xdr:row>
      <xdr:rowOff>0</xdr:rowOff>
    </xdr:to>
    <xdr:grpSp>
      <xdr:nvGrpSpPr>
        <xdr:cNvPr id="17" name="Groupe 16"/>
        <xdr:cNvGrpSpPr/>
      </xdr:nvGrpSpPr>
      <xdr:grpSpPr>
        <a:xfrm>
          <a:off x="8582025" y="1524000"/>
          <a:ext cx="1809750" cy="781050"/>
          <a:chOff x="8420100" y="1143000"/>
          <a:chExt cx="1809750" cy="762000"/>
        </a:xfrm>
      </xdr:grpSpPr>
      <xdr:sp macro="" textlink="">
        <xdr:nvSpPr>
          <xdr:cNvPr id="14" name="Rectangle 13">
            <a:hlinkClick xmlns:r="http://schemas.openxmlformats.org/officeDocument/2006/relationships" r:id="rId3"/>
          </xdr:cNvPr>
          <xdr:cNvSpPr/>
        </xdr:nvSpPr>
        <xdr:spPr>
          <a:xfrm>
            <a:off x="8420100" y="1143000"/>
            <a:ext cx="1809750" cy="7620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H" sz="1100"/>
          </a:p>
        </xdr:txBody>
      </xdr:sp>
      <xdr:pic>
        <xdr:nvPicPr>
          <xdr:cNvPr id="9" name="Image 8" descr="https://www.datatrans.ch/userobjects/3934_2359_Postfinance_E-Finance_Logo_eckig_kl.jpg">
            <a:hlinkClick xmlns:r="http://schemas.openxmlformats.org/officeDocument/2006/relationships" r:id="rId3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10625" y="1190625"/>
            <a:ext cx="1057275" cy="68370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12</xdr:col>
      <xdr:colOff>1</xdr:colOff>
      <xdr:row>3</xdr:row>
      <xdr:rowOff>0</xdr:rowOff>
    </xdr:from>
    <xdr:to>
      <xdr:col>15</xdr:col>
      <xdr:colOff>1</xdr:colOff>
      <xdr:row>7</xdr:row>
      <xdr:rowOff>0</xdr:rowOff>
    </xdr:to>
    <xdr:grpSp>
      <xdr:nvGrpSpPr>
        <xdr:cNvPr id="16" name="Groupe 15">
          <a:hlinkClick xmlns:r="http://schemas.openxmlformats.org/officeDocument/2006/relationships" r:id="rId5"/>
        </xdr:cNvPr>
        <xdr:cNvGrpSpPr/>
      </xdr:nvGrpSpPr>
      <xdr:grpSpPr>
        <a:xfrm>
          <a:off x="8582026" y="571500"/>
          <a:ext cx="1809750" cy="762000"/>
          <a:chOff x="8420101" y="381000"/>
          <a:chExt cx="1809750" cy="762000"/>
        </a:xfrm>
      </xdr:grpSpPr>
      <xdr:sp macro="" textlink="">
        <xdr:nvSpPr>
          <xdr:cNvPr id="3" name="Rectangle 2"/>
          <xdr:cNvSpPr/>
        </xdr:nvSpPr>
        <xdr:spPr>
          <a:xfrm>
            <a:off x="8420101" y="381000"/>
            <a:ext cx="1809750" cy="7620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H" sz="1100"/>
          </a:p>
        </xdr:txBody>
      </xdr:sp>
      <xdr:pic>
        <xdr:nvPicPr>
          <xdr:cNvPr id="10" name="Image 9">
            <a:hlinkClick xmlns:r="http://schemas.openxmlformats.org/officeDocument/2006/relationships" r:id="rId5"/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23350" y="400050"/>
            <a:ext cx="584099" cy="739633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12</xdr:col>
      <xdr:colOff>0</xdr:colOff>
      <xdr:row>18</xdr:row>
      <xdr:rowOff>0</xdr:rowOff>
    </xdr:from>
    <xdr:to>
      <xdr:col>15</xdr:col>
      <xdr:colOff>0</xdr:colOff>
      <xdr:row>22</xdr:row>
      <xdr:rowOff>0</xdr:rowOff>
    </xdr:to>
    <xdr:grpSp>
      <xdr:nvGrpSpPr>
        <xdr:cNvPr id="18" name="Groupe 17"/>
        <xdr:cNvGrpSpPr/>
      </xdr:nvGrpSpPr>
      <xdr:grpSpPr>
        <a:xfrm>
          <a:off x="8582025" y="3467100"/>
          <a:ext cx="1809750" cy="771525"/>
          <a:chOff x="8420100" y="2657475"/>
          <a:chExt cx="1809750" cy="762000"/>
        </a:xfrm>
      </xdr:grpSpPr>
      <xdr:sp macro="" textlink="">
        <xdr:nvSpPr>
          <xdr:cNvPr id="27" name="Rectangle 26">
            <a:hlinkClick xmlns:r="http://schemas.openxmlformats.org/officeDocument/2006/relationships" r:id="rId7"/>
          </xdr:cNvPr>
          <xdr:cNvSpPr/>
        </xdr:nvSpPr>
        <xdr:spPr>
          <a:xfrm>
            <a:off x="8420100" y="2657475"/>
            <a:ext cx="1809750" cy="7620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H" sz="1100"/>
          </a:p>
        </xdr:txBody>
      </xdr:sp>
      <xdr:pic>
        <xdr:nvPicPr>
          <xdr:cNvPr id="26" name="Image 25" descr="https://fr33tux.org/images/theme/mail.pn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87" b="19141"/>
          <a:stretch/>
        </xdr:blipFill>
        <xdr:spPr bwMode="auto">
          <a:xfrm>
            <a:off x="8772525" y="2686050"/>
            <a:ext cx="1143000" cy="7277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200026</xdr:colOff>
      <xdr:row>17</xdr:row>
      <xdr:rowOff>14288</xdr:rowOff>
    </xdr:from>
    <xdr:to>
      <xdr:col>6</xdr:col>
      <xdr:colOff>581025</xdr:colOff>
      <xdr:row>29</xdr:row>
      <xdr:rowOff>9526</xdr:rowOff>
    </xdr:to>
    <xdr:graphicFrame macro="">
      <xdr:nvGraphicFramePr>
        <xdr:cNvPr id="19" name="Graphique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47624</xdr:colOff>
      <xdr:row>1</xdr:row>
      <xdr:rowOff>142875</xdr:rowOff>
    </xdr:from>
    <xdr:to>
      <xdr:col>3</xdr:col>
      <xdr:colOff>164060</xdr:colOff>
      <xdr:row>6</xdr:row>
      <xdr:rowOff>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4" y="333375"/>
          <a:ext cx="3383511" cy="809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598171</xdr:colOff>
      <xdr:row>1</xdr:row>
      <xdr:rowOff>85724</xdr:rowOff>
    </xdr:from>
    <xdr:to>
      <xdr:col>13</xdr:col>
      <xdr:colOff>209323</xdr:colOff>
      <xdr:row>14</xdr:row>
      <xdr:rowOff>38099</xdr:rowOff>
    </xdr:to>
    <xdr:pic>
      <xdr:nvPicPr>
        <xdr:cNvPr id="3" name="Image 2" descr="http://www.pcgamesarchive.com/archive/c/counter-strike-global-offensive/wallpapers/counter-strike-global-offensive-6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467" b="23345"/>
        <a:stretch/>
      </xdr:blipFill>
      <xdr:spPr bwMode="auto">
        <a:xfrm>
          <a:off x="4027171" y="276224"/>
          <a:ext cx="6469152" cy="2428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104775</xdr:colOff>
      <xdr:row>13</xdr:row>
      <xdr:rowOff>133351</xdr:rowOff>
    </xdr:from>
    <xdr:to>
      <xdr:col>12</xdr:col>
      <xdr:colOff>676275</xdr:colOff>
      <xdr:row>29</xdr:row>
      <xdr:rowOff>38101</xdr:rowOff>
    </xdr:to>
    <xdr:pic>
      <xdr:nvPicPr>
        <xdr:cNvPr id="5" name="Image 4" descr="http://images.lazygamer.net/2013/11/league-of-legends-logo1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5775" y="2609851"/>
          <a:ext cx="5905500" cy="295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666750</xdr:colOff>
          <xdr:row>21</xdr:row>
          <xdr:rowOff>133350</xdr:rowOff>
        </xdr:from>
        <xdr:to>
          <xdr:col>9</xdr:col>
          <xdr:colOff>771525</xdr:colOff>
          <xdr:row>29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Copier les inscriptions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paypal.com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www.postfinance.ch/" TargetMode="External"/><Relationship Id="rId1" Type="http://schemas.openxmlformats.org/officeDocument/2006/relationships/hyperlink" Target="http://www.festigeek.ch/" TargetMode="External"/><Relationship Id="rId6" Type="http://schemas.openxmlformats.org/officeDocument/2006/relationships/hyperlink" Target="http://www.festigeek.ch/webacess" TargetMode="External"/><Relationship Id="rId5" Type="http://schemas.openxmlformats.org/officeDocument/2006/relationships/hyperlink" Target="http://www.festigeek.ch/webacess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://www.festigeek.ch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2:R29"/>
  <sheetViews>
    <sheetView workbookViewId="0">
      <selection activeCell="I26" sqref="I26"/>
    </sheetView>
  </sheetViews>
  <sheetFormatPr baseColWidth="10" defaultRowHeight="15" x14ac:dyDescent="0.25"/>
  <cols>
    <col min="1" max="1" width="5.7109375" style="5" customWidth="1"/>
    <col min="2" max="2" width="32.5703125" style="5" customWidth="1"/>
    <col min="3" max="3" width="10.7109375" style="5" customWidth="1"/>
    <col min="4" max="4" width="3.5703125" style="5" customWidth="1"/>
    <col min="5" max="5" width="4.28515625" style="5" customWidth="1"/>
    <col min="6" max="6" width="21.42578125" style="5" customWidth="1"/>
    <col min="7" max="7" width="12" style="5" customWidth="1"/>
    <col min="8" max="8" width="3.5703125" style="5" customWidth="1"/>
    <col min="9" max="9" width="4.28515625" style="5" customWidth="1"/>
    <col min="10" max="10" width="16" style="5" customWidth="1"/>
    <col min="11" max="11" width="11" style="5" bestFit="1" customWidth="1"/>
    <col min="12" max="12" width="3.5703125" style="5" customWidth="1"/>
    <col min="13" max="13" width="4.28515625" style="5" customWidth="1"/>
    <col min="14" max="15" width="11.42578125" style="5"/>
    <col min="16" max="17" width="8.5703125" style="5" customWidth="1"/>
    <col min="18" max="18" width="23" style="5" bestFit="1" customWidth="1"/>
    <col min="19" max="16384" width="11.42578125" style="5"/>
  </cols>
  <sheetData>
    <row r="2" spans="2:18" x14ac:dyDescent="0.25">
      <c r="D2" s="39"/>
      <c r="E2" s="155" t="s">
        <v>36</v>
      </c>
      <c r="F2" s="156"/>
      <c r="G2" s="157"/>
      <c r="H2" s="39"/>
      <c r="I2" s="155" t="s">
        <v>46</v>
      </c>
      <c r="J2" s="156"/>
      <c r="K2" s="157"/>
      <c r="L2" s="39"/>
      <c r="M2" s="155" t="s">
        <v>45</v>
      </c>
      <c r="N2" s="156"/>
      <c r="O2" s="157"/>
      <c r="P2" s="39"/>
      <c r="Q2" s="39"/>
      <c r="R2" s="38" t="s">
        <v>38</v>
      </c>
    </row>
    <row r="3" spans="2:18" x14ac:dyDescent="0.25">
      <c r="E3" s="200"/>
      <c r="F3" s="201"/>
      <c r="G3" s="202"/>
      <c r="I3" s="197"/>
      <c r="J3" s="198"/>
      <c r="K3" s="199"/>
      <c r="M3" s="181"/>
      <c r="N3" s="182"/>
      <c r="O3" s="183"/>
      <c r="R3" s="37"/>
    </row>
    <row r="4" spans="2:18" x14ac:dyDescent="0.25">
      <c r="E4" s="170" t="s">
        <v>56</v>
      </c>
      <c r="F4" s="171"/>
      <c r="G4" s="6">
        <f>COUNTIF(statut_paiement,"En attente")</f>
        <v>19</v>
      </c>
      <c r="I4" s="161" t="s">
        <v>53</v>
      </c>
      <c r="J4" s="162"/>
      <c r="K4" s="6">
        <f>COUNTIF(ve_soir,"x")</f>
        <v>8</v>
      </c>
      <c r="M4" s="172" t="s">
        <v>40</v>
      </c>
      <c r="N4" s="173"/>
      <c r="O4" s="174"/>
      <c r="R4" s="3"/>
    </row>
    <row r="5" spans="2:18" x14ac:dyDescent="0.25">
      <c r="E5" s="15" t="s">
        <v>35</v>
      </c>
      <c r="F5" s="11" t="s">
        <v>42</v>
      </c>
      <c r="G5" s="12">
        <f>SUMIF(statut_paiement,"En attente",montant)</f>
        <v>391</v>
      </c>
      <c r="I5" s="16" t="s">
        <v>35</v>
      </c>
      <c r="J5" s="11" t="s">
        <v>42</v>
      </c>
      <c r="K5" s="12">
        <f>K4*13</f>
        <v>104</v>
      </c>
      <c r="M5" s="175"/>
      <c r="N5" s="176"/>
      <c r="O5" s="177"/>
      <c r="R5" s="3"/>
    </row>
    <row r="6" spans="2:18" x14ac:dyDescent="0.25">
      <c r="E6" s="164"/>
      <c r="F6" s="165"/>
      <c r="G6" s="166"/>
      <c r="I6" s="187"/>
      <c r="J6" s="188"/>
      <c r="K6" s="189"/>
      <c r="M6" s="175"/>
      <c r="N6" s="176"/>
      <c r="O6" s="177"/>
      <c r="R6" s="3"/>
    </row>
    <row r="7" spans="2:18" x14ac:dyDescent="0.25">
      <c r="E7" s="170" t="s">
        <v>57</v>
      </c>
      <c r="F7" s="171"/>
      <c r="G7" s="6">
        <f>COUNTIF(statut_paiement,"Payé")</f>
        <v>160</v>
      </c>
      <c r="I7" s="67" t="s">
        <v>54</v>
      </c>
      <c r="J7" s="11"/>
      <c r="K7" s="6">
        <f>COUNTIF(sa_déj,"x")</f>
        <v>10</v>
      </c>
      <c r="M7" s="178"/>
      <c r="N7" s="179"/>
      <c r="O7" s="180"/>
      <c r="R7" s="3"/>
    </row>
    <row r="8" spans="2:18" x14ac:dyDescent="0.25">
      <c r="B8" s="77" t="s">
        <v>47</v>
      </c>
      <c r="C8" s="78"/>
      <c r="E8" s="15" t="s">
        <v>35</v>
      </c>
      <c r="F8" s="11" t="s">
        <v>42</v>
      </c>
      <c r="G8" s="12">
        <f>SUMIF(statut_paiement,"Payé",montant)</f>
        <v>3813</v>
      </c>
      <c r="I8" s="16" t="s">
        <v>35</v>
      </c>
      <c r="J8" s="11" t="s">
        <v>42</v>
      </c>
      <c r="K8" s="12">
        <f>K7*5</f>
        <v>50</v>
      </c>
      <c r="M8" s="158"/>
      <c r="N8" s="159"/>
      <c r="O8" s="160"/>
      <c r="R8" s="3"/>
    </row>
    <row r="9" spans="2:18" x14ac:dyDescent="0.25">
      <c r="B9" s="75"/>
      <c r="C9" s="76"/>
      <c r="E9" s="164"/>
      <c r="F9" s="165"/>
      <c r="G9" s="166"/>
      <c r="I9" s="187"/>
      <c r="J9" s="188"/>
      <c r="K9" s="189"/>
      <c r="M9" s="172" t="s">
        <v>39</v>
      </c>
      <c r="N9" s="173"/>
      <c r="O9" s="174"/>
      <c r="R9" s="3"/>
    </row>
    <row r="10" spans="2:18" x14ac:dyDescent="0.25">
      <c r="B10" s="79" t="s">
        <v>50</v>
      </c>
      <c r="C10" s="40">
        <f>COUNTIF(Participation_tournoi,"CS:GO")</f>
        <v>41</v>
      </c>
      <c r="E10" s="167" t="s">
        <v>37</v>
      </c>
      <c r="F10" s="168"/>
      <c r="G10" s="18">
        <f>G4+G7</f>
        <v>179</v>
      </c>
      <c r="I10" s="67" t="s">
        <v>55</v>
      </c>
      <c r="J10" s="68"/>
      <c r="K10" s="6">
        <f>COUNTIF(sa_midi,"x")</f>
        <v>22</v>
      </c>
      <c r="M10" s="175"/>
      <c r="N10" s="176"/>
      <c r="O10" s="177"/>
      <c r="R10" s="3"/>
    </row>
    <row r="11" spans="2:18" ht="15.75" thickBot="1" x14ac:dyDescent="0.3">
      <c r="B11" s="79" t="s">
        <v>51</v>
      </c>
      <c r="C11" s="90">
        <f>COUNTIF(Participation_tournoi,"LOL")</f>
        <v>108</v>
      </c>
      <c r="E11" s="20" t="s">
        <v>35</v>
      </c>
      <c r="F11" s="19" t="s">
        <v>37</v>
      </c>
      <c r="G11" s="17">
        <f>SUM(G5+G8)</f>
        <v>4204</v>
      </c>
      <c r="I11" s="16" t="s">
        <v>35</v>
      </c>
      <c r="J11" s="68" t="s">
        <v>42</v>
      </c>
      <c r="K11" s="12">
        <f>K10*13</f>
        <v>286</v>
      </c>
      <c r="M11" s="175"/>
      <c r="N11" s="176"/>
      <c r="O11" s="177"/>
      <c r="R11" s="3"/>
    </row>
    <row r="12" spans="2:18" ht="15.75" thickTop="1" x14ac:dyDescent="0.25">
      <c r="B12" s="7" t="s">
        <v>14</v>
      </c>
      <c r="C12" s="91">
        <f>COUNTIF(Participation_tournoi,"HS")</f>
        <v>20</v>
      </c>
      <c r="E12" s="163"/>
      <c r="F12" s="163"/>
      <c r="G12" s="163"/>
      <c r="I12" s="190"/>
      <c r="J12" s="191"/>
      <c r="K12" s="192"/>
      <c r="M12" s="178"/>
      <c r="N12" s="179"/>
      <c r="O12" s="180"/>
      <c r="R12" s="3"/>
    </row>
    <row r="13" spans="2:18" x14ac:dyDescent="0.25">
      <c r="B13" s="79" t="s">
        <v>232</v>
      </c>
      <c r="C13" s="92">
        <f>C15-SUM(C10:C12)</f>
        <v>10</v>
      </c>
      <c r="E13" s="167" t="s">
        <v>10</v>
      </c>
      <c r="F13" s="168"/>
      <c r="G13" s="169"/>
      <c r="I13" s="67" t="s">
        <v>82</v>
      </c>
      <c r="J13" s="68"/>
      <c r="K13" s="6">
        <f>COUNTIF(sa_soir,"x")</f>
        <v>14</v>
      </c>
      <c r="M13" s="158"/>
      <c r="N13" s="159"/>
      <c r="O13" s="160"/>
      <c r="R13" s="3"/>
    </row>
    <row r="14" spans="2:18" x14ac:dyDescent="0.25">
      <c r="B14" s="164"/>
      <c r="C14" s="166"/>
      <c r="E14" s="170" t="s">
        <v>43</v>
      </c>
      <c r="F14" s="171"/>
      <c r="G14" s="6">
        <f>COUNTIF(moyen_paiement,"PayPal")</f>
        <v>77</v>
      </c>
      <c r="I14" s="16" t="s">
        <v>35</v>
      </c>
      <c r="J14" s="68" t="s">
        <v>42</v>
      </c>
      <c r="K14" s="12">
        <f>K13*13</f>
        <v>182</v>
      </c>
      <c r="M14" s="173" t="s">
        <v>13</v>
      </c>
      <c r="N14" s="173"/>
      <c r="O14" s="173"/>
      <c r="R14" s="3"/>
    </row>
    <row r="15" spans="2:18" ht="15.75" thickBot="1" x14ac:dyDescent="0.3">
      <c r="B15" s="13" t="s">
        <v>41</v>
      </c>
      <c r="C15" s="14">
        <f>COUNT(num_commande)</f>
        <v>179</v>
      </c>
      <c r="E15" s="16" t="s">
        <v>35</v>
      </c>
      <c r="F15" s="41" t="s">
        <v>49</v>
      </c>
      <c r="G15" s="12">
        <f>(0.034*SUMIF(moyen_paiement,"PayPal",montant))+(0.55*COUNTIF(moyen_paiement,"PayPal"))</f>
        <v>104.672</v>
      </c>
      <c r="I15" s="190"/>
      <c r="J15" s="191"/>
      <c r="K15" s="192"/>
      <c r="M15" s="176"/>
      <c r="N15" s="176"/>
      <c r="O15" s="176"/>
      <c r="R15" s="3"/>
    </row>
    <row r="16" spans="2:18" ht="15.75" thickTop="1" x14ac:dyDescent="0.25">
      <c r="B16" s="9" t="s">
        <v>104</v>
      </c>
      <c r="C16" s="8">
        <f>COUNTIF(Etudiant,"X")</f>
        <v>9</v>
      </c>
      <c r="E16" s="193" t="s">
        <v>105</v>
      </c>
      <c r="F16" s="194"/>
      <c r="G16" s="36">
        <f>COUNTIF(moyen_paiement,"Virement")+COUNTIF(moyen_paiement,"Cash")</f>
        <v>100</v>
      </c>
      <c r="I16" s="67" t="s">
        <v>83</v>
      </c>
      <c r="J16" s="11"/>
      <c r="K16" s="6">
        <f>COUNTIF(di_déj,"x")</f>
        <v>12</v>
      </c>
      <c r="M16" s="176"/>
      <c r="N16" s="176"/>
      <c r="O16" s="176"/>
      <c r="R16" s="3"/>
    </row>
    <row r="17" spans="9:18" x14ac:dyDescent="0.25">
      <c r="I17" s="16" t="s">
        <v>35</v>
      </c>
      <c r="J17" s="11" t="s">
        <v>42</v>
      </c>
      <c r="K17" s="12">
        <f>K16*5</f>
        <v>60</v>
      </c>
      <c r="M17" s="176"/>
      <c r="N17" s="176"/>
      <c r="O17" s="176"/>
      <c r="R17" s="3"/>
    </row>
    <row r="18" spans="9:18" x14ac:dyDescent="0.25">
      <c r="I18" s="190"/>
      <c r="J18" s="191"/>
      <c r="K18" s="192"/>
      <c r="M18" s="184"/>
      <c r="N18" s="185"/>
      <c r="O18" s="186"/>
      <c r="R18" s="3"/>
    </row>
    <row r="19" spans="9:18" x14ac:dyDescent="0.25">
      <c r="I19" s="7" t="s">
        <v>84</v>
      </c>
      <c r="J19" s="11"/>
      <c r="K19" s="6">
        <f>COUNTIF(di_midi,"x")</f>
        <v>9</v>
      </c>
      <c r="M19" s="172" t="s">
        <v>48</v>
      </c>
      <c r="N19" s="173"/>
      <c r="O19" s="174"/>
      <c r="R19" s="3"/>
    </row>
    <row r="20" spans="9:18" x14ac:dyDescent="0.25">
      <c r="I20" s="16" t="s">
        <v>35</v>
      </c>
      <c r="J20" s="11" t="s">
        <v>42</v>
      </c>
      <c r="K20" s="12">
        <f>K19*13</f>
        <v>117</v>
      </c>
      <c r="M20" s="175"/>
      <c r="N20" s="176"/>
      <c r="O20" s="177"/>
      <c r="R20" s="3"/>
    </row>
    <row r="21" spans="9:18" x14ac:dyDescent="0.25">
      <c r="I21" s="187"/>
      <c r="J21" s="188"/>
      <c r="K21" s="189"/>
      <c r="M21" s="175"/>
      <c r="N21" s="176"/>
      <c r="O21" s="177"/>
      <c r="R21" s="3"/>
    </row>
    <row r="22" spans="9:18" ht="15.75" thickBot="1" x14ac:dyDescent="0.3">
      <c r="I22" s="195" t="s">
        <v>44</v>
      </c>
      <c r="J22" s="196"/>
      <c r="K22" s="17">
        <f>SUM(K5,K8,K11,K14,K17,K20)</f>
        <v>799</v>
      </c>
      <c r="M22" s="178"/>
      <c r="N22" s="179"/>
      <c r="O22" s="180"/>
      <c r="R22" s="3"/>
    </row>
    <row r="23" spans="9:18" ht="15.75" thickTop="1" x14ac:dyDescent="0.25">
      <c r="R23" s="3"/>
    </row>
    <row r="24" spans="9:18" x14ac:dyDescent="0.25">
      <c r="R24" s="3"/>
    </row>
    <row r="25" spans="9:18" x14ac:dyDescent="0.25">
      <c r="R25" s="3"/>
    </row>
    <row r="26" spans="9:18" x14ac:dyDescent="0.25">
      <c r="R26" s="3"/>
    </row>
    <row r="27" spans="9:18" x14ac:dyDescent="0.25">
      <c r="R27" s="3"/>
    </row>
    <row r="28" spans="9:18" x14ac:dyDescent="0.25">
      <c r="R28" s="3"/>
    </row>
    <row r="29" spans="9:18" x14ac:dyDescent="0.25">
      <c r="R29" s="3"/>
    </row>
  </sheetData>
  <mergeCells count="31">
    <mergeCell ref="I3:K3"/>
    <mergeCell ref="I15:K15"/>
    <mergeCell ref="I9:K9"/>
    <mergeCell ref="I12:K12"/>
    <mergeCell ref="E3:G3"/>
    <mergeCell ref="I6:K6"/>
    <mergeCell ref="B14:C14"/>
    <mergeCell ref="M19:O22"/>
    <mergeCell ref="M14:O17"/>
    <mergeCell ref="E14:F14"/>
    <mergeCell ref="M18:O18"/>
    <mergeCell ref="I21:K21"/>
    <mergeCell ref="I18:K18"/>
    <mergeCell ref="E16:F16"/>
    <mergeCell ref="I22:J22"/>
    <mergeCell ref="M2:O2"/>
    <mergeCell ref="I2:K2"/>
    <mergeCell ref="E2:G2"/>
    <mergeCell ref="M13:O13"/>
    <mergeCell ref="M8:O8"/>
    <mergeCell ref="I4:J4"/>
    <mergeCell ref="E12:G12"/>
    <mergeCell ref="E6:G6"/>
    <mergeCell ref="E9:G9"/>
    <mergeCell ref="E13:G13"/>
    <mergeCell ref="E4:F4"/>
    <mergeCell ref="E7:F7"/>
    <mergeCell ref="E10:F10"/>
    <mergeCell ref="M9:O12"/>
    <mergeCell ref="M4:O7"/>
    <mergeCell ref="M3:O3"/>
  </mergeCells>
  <conditionalFormatting sqref="C10">
    <cfRule type="cellIs" dxfId="58" priority="11" operator="between">
      <formula>30</formula>
      <formula>39</formula>
    </cfRule>
    <cfRule type="cellIs" dxfId="57" priority="16" operator="greaterThan">
      <formula>40</formula>
    </cfRule>
  </conditionalFormatting>
  <conditionalFormatting sqref="C15">
    <cfRule type="cellIs" priority="12" operator="greaterThan">
      <formula>"140+$C$12"</formula>
    </cfRule>
  </conditionalFormatting>
  <conditionalFormatting sqref="G4">
    <cfRule type="cellIs" dxfId="56" priority="8" operator="equal">
      <formula>0</formula>
    </cfRule>
  </conditionalFormatting>
  <conditionalFormatting sqref="G7">
    <cfRule type="cellIs" dxfId="55" priority="7" operator="equal">
      <formula>$G$4=0</formula>
    </cfRule>
  </conditionalFormatting>
  <conditionalFormatting sqref="C11">
    <cfRule type="cellIs" dxfId="54" priority="5" operator="between">
      <formula>100</formula>
      <formula>119</formula>
    </cfRule>
    <cfRule type="cellIs" dxfId="53" priority="6" operator="greaterThan">
      <formula>120</formula>
    </cfRule>
  </conditionalFormatting>
  <conditionalFormatting sqref="C12">
    <cfRule type="cellIs" dxfId="52" priority="3" operator="between">
      <formula>20</formula>
      <formula>23</formula>
    </cfRule>
    <cfRule type="cellIs" dxfId="51" priority="4" operator="greaterThan">
      <formula>24</formula>
    </cfRule>
  </conditionalFormatting>
  <conditionalFormatting sqref="C13">
    <cfRule type="cellIs" dxfId="50" priority="1" operator="between">
      <formula>20</formula>
      <formula>31</formula>
    </cfRule>
    <cfRule type="cellIs" dxfId="49" priority="2" operator="greaterThan">
      <formula>32</formula>
    </cfRule>
  </conditionalFormatting>
  <hyperlinks>
    <hyperlink ref="M4" r:id="rId1" display="www.festigeek.ch"/>
    <hyperlink ref="M9" r:id="rId2" display="www.postfinance.ch"/>
    <hyperlink ref="M14" r:id="rId3" display="www.paypal.com"/>
    <hyperlink ref="M4:O7" r:id="rId4" display="FG"/>
    <hyperlink ref="M19" r:id="rId5" display="www.festigeek.ch/webacess"/>
    <hyperlink ref="M19:O22" r:id="rId6" display="Webacess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0" name="Button 1">
              <controlPr defaultSize="0" print="0" autoFill="0" autoPict="0" macro="[0]!valider_paiements">
                <anchor moveWithCells="1" sizeWithCells="1">
                  <from>
                    <xdr:col>18</xdr:col>
                    <xdr:colOff>180975</xdr:colOff>
                    <xdr:row>10</xdr:row>
                    <xdr:rowOff>104775</xdr:rowOff>
                  </from>
                  <to>
                    <xdr:col>19</xdr:col>
                    <xdr:colOff>628650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Q28"/>
  <sheetViews>
    <sheetView workbookViewId="0">
      <selection activeCell="O13" sqref="O13"/>
    </sheetView>
  </sheetViews>
  <sheetFormatPr baseColWidth="10" defaultRowHeight="15" x14ac:dyDescent="0.25"/>
  <cols>
    <col min="1" max="1" width="8.140625" style="5" customWidth="1"/>
    <col min="2" max="2" width="20.42578125" style="5" customWidth="1"/>
    <col min="3" max="3" width="11.42578125" style="5"/>
    <col min="4" max="14" width="11.42578125" style="5" customWidth="1"/>
    <col min="15" max="15" width="8" style="5" customWidth="1"/>
    <col min="16" max="16" width="30.42578125" style="5" bestFit="1" customWidth="1"/>
    <col min="17" max="17" width="11.140625" style="5" bestFit="1" customWidth="1"/>
    <col min="18" max="16384" width="11.42578125" style="5"/>
  </cols>
  <sheetData>
    <row r="2" spans="2:17" s="49" customFormat="1" x14ac:dyDescent="0.25">
      <c r="B2" s="203" t="s">
        <v>50</v>
      </c>
      <c r="C2" s="204"/>
      <c r="P2" s="203" t="s">
        <v>51</v>
      </c>
      <c r="Q2" s="204"/>
    </row>
    <row r="3" spans="2:17" x14ac:dyDescent="0.25">
      <c r="B3" s="44"/>
      <c r="C3" s="45"/>
      <c r="P3" s="44"/>
      <c r="Q3" s="45"/>
    </row>
    <row r="4" spans="2:17" x14ac:dyDescent="0.25">
      <c r="B4" s="42" t="s">
        <v>163</v>
      </c>
      <c r="C4" s="43">
        <f t="shared" ref="C4:C17" si="0">COUNTIFS(Participation_tournoi,"CS:GO",team,B4)</f>
        <v>5</v>
      </c>
      <c r="P4" s="87" t="s">
        <v>89</v>
      </c>
      <c r="Q4" s="88">
        <f>COUNTIFS(Participation_tournoi,"LOL",team,P4)</f>
        <v>5</v>
      </c>
    </row>
    <row r="5" spans="2:17" x14ac:dyDescent="0.25">
      <c r="B5" s="42" t="s">
        <v>257</v>
      </c>
      <c r="C5" s="43">
        <f t="shared" si="0"/>
        <v>5</v>
      </c>
      <c r="P5" s="87" t="s">
        <v>115</v>
      </c>
      <c r="Q5" s="88">
        <f t="shared" ref="Q5:Q25" si="1">COUNTIFS(Participation_tournoi,"LOL",team,P5)</f>
        <v>5</v>
      </c>
    </row>
    <row r="6" spans="2:17" x14ac:dyDescent="0.25">
      <c r="B6" s="42" t="s">
        <v>383</v>
      </c>
      <c r="C6" s="43">
        <f t="shared" si="0"/>
        <v>5</v>
      </c>
      <c r="P6" s="87" t="s">
        <v>598</v>
      </c>
      <c r="Q6" s="88">
        <f t="shared" si="1"/>
        <v>5</v>
      </c>
    </row>
    <row r="7" spans="2:17" x14ac:dyDescent="0.25">
      <c r="B7" s="42" t="s">
        <v>434</v>
      </c>
      <c r="C7" s="43">
        <f t="shared" si="0"/>
        <v>5</v>
      </c>
      <c r="P7" s="89" t="s">
        <v>154</v>
      </c>
      <c r="Q7" s="88">
        <f t="shared" si="1"/>
        <v>6</v>
      </c>
    </row>
    <row r="8" spans="2:17" x14ac:dyDescent="0.25">
      <c r="B8" s="42" t="s">
        <v>442</v>
      </c>
      <c r="C8" s="43">
        <f t="shared" si="0"/>
        <v>5</v>
      </c>
      <c r="P8" s="87" t="s">
        <v>171</v>
      </c>
      <c r="Q8" s="88">
        <f t="shared" si="1"/>
        <v>5</v>
      </c>
    </row>
    <row r="9" spans="2:17" x14ac:dyDescent="0.25">
      <c r="B9" s="42" t="s">
        <v>471</v>
      </c>
      <c r="C9" s="43">
        <f t="shared" si="0"/>
        <v>5</v>
      </c>
      <c r="P9" s="89" t="s">
        <v>185</v>
      </c>
      <c r="Q9" s="88">
        <f t="shared" si="1"/>
        <v>5</v>
      </c>
    </row>
    <row r="10" spans="2:17" x14ac:dyDescent="0.25">
      <c r="B10" s="42" t="s">
        <v>454</v>
      </c>
      <c r="C10" s="43">
        <f t="shared" si="0"/>
        <v>6</v>
      </c>
      <c r="P10" s="87" t="s">
        <v>235</v>
      </c>
      <c r="Q10" s="88">
        <f t="shared" si="1"/>
        <v>6</v>
      </c>
    </row>
    <row r="11" spans="2:17" x14ac:dyDescent="0.25">
      <c r="B11" s="86" t="s">
        <v>456</v>
      </c>
      <c r="C11" s="43">
        <f t="shared" si="0"/>
        <v>5</v>
      </c>
      <c r="P11" s="87" t="s">
        <v>240</v>
      </c>
      <c r="Q11" s="88">
        <f t="shared" si="1"/>
        <v>5</v>
      </c>
    </row>
    <row r="12" spans="2:17" x14ac:dyDescent="0.25">
      <c r="B12" s="42"/>
      <c r="C12" s="43">
        <f t="shared" si="0"/>
        <v>0</v>
      </c>
      <c r="P12" s="87" t="s">
        <v>267</v>
      </c>
      <c r="Q12" s="88">
        <f t="shared" si="1"/>
        <v>5</v>
      </c>
    </row>
    <row r="13" spans="2:17" x14ac:dyDescent="0.25">
      <c r="B13" s="42"/>
      <c r="C13" s="43">
        <f t="shared" si="0"/>
        <v>0</v>
      </c>
      <c r="P13" s="89" t="s">
        <v>289</v>
      </c>
      <c r="Q13" s="88">
        <f t="shared" si="1"/>
        <v>5</v>
      </c>
    </row>
    <row r="14" spans="2:17" x14ac:dyDescent="0.25">
      <c r="B14" s="42"/>
      <c r="C14" s="43">
        <f t="shared" si="0"/>
        <v>0</v>
      </c>
      <c r="P14" s="89" t="s">
        <v>277</v>
      </c>
      <c r="Q14" s="88">
        <f t="shared" si="1"/>
        <v>5</v>
      </c>
    </row>
    <row r="15" spans="2:17" x14ac:dyDescent="0.25">
      <c r="B15" s="42"/>
      <c r="C15" s="43">
        <f t="shared" si="0"/>
        <v>0</v>
      </c>
      <c r="P15" s="89" t="s">
        <v>315</v>
      </c>
      <c r="Q15" s="88">
        <f t="shared" si="1"/>
        <v>5</v>
      </c>
    </row>
    <row r="16" spans="2:17" x14ac:dyDescent="0.25">
      <c r="B16" s="42"/>
      <c r="C16" s="43">
        <f t="shared" si="0"/>
        <v>0</v>
      </c>
      <c r="P16" s="89" t="s">
        <v>316</v>
      </c>
      <c r="Q16" s="88">
        <f t="shared" si="1"/>
        <v>5</v>
      </c>
    </row>
    <row r="17" spans="2:17" x14ac:dyDescent="0.25">
      <c r="B17" s="42"/>
      <c r="C17" s="43">
        <f t="shared" si="0"/>
        <v>0</v>
      </c>
      <c r="P17" s="89" t="s">
        <v>302</v>
      </c>
      <c r="Q17" s="88">
        <f t="shared" si="1"/>
        <v>6</v>
      </c>
    </row>
    <row r="18" spans="2:17" x14ac:dyDescent="0.25">
      <c r="B18" s="42" t="s">
        <v>52</v>
      </c>
      <c r="C18" s="43">
        <f>COUNTIFS(Participation_tournoi,"CS:GO",team,"")</f>
        <v>0</v>
      </c>
      <c r="J18"/>
      <c r="P18" s="89" t="s">
        <v>379</v>
      </c>
      <c r="Q18" s="88">
        <f t="shared" si="1"/>
        <v>5</v>
      </c>
    </row>
    <row r="19" spans="2:17" x14ac:dyDescent="0.25">
      <c r="B19" s="48"/>
      <c r="C19" s="10"/>
      <c r="P19" s="89" t="s">
        <v>310</v>
      </c>
      <c r="Q19" s="88">
        <f t="shared" si="1"/>
        <v>5</v>
      </c>
    </row>
    <row r="20" spans="2:17" x14ac:dyDescent="0.25">
      <c r="B20" s="46" t="str">
        <f>COUNTA(B4:B17)&amp;" teams"</f>
        <v>8 teams</v>
      </c>
      <c r="C20" s="47" t="str">
        <f>SUM(C4:C18)&amp;" joueurs"</f>
        <v>41 joueurs</v>
      </c>
      <c r="P20" s="89" t="s">
        <v>386</v>
      </c>
      <c r="Q20" s="88">
        <f t="shared" si="1"/>
        <v>6</v>
      </c>
    </row>
    <row r="21" spans="2:17" x14ac:dyDescent="0.25">
      <c r="P21" s="87" t="s">
        <v>509</v>
      </c>
      <c r="Q21" s="88">
        <f t="shared" si="1"/>
        <v>5</v>
      </c>
    </row>
    <row r="22" spans="2:17" x14ac:dyDescent="0.25">
      <c r="P22" s="87" t="s">
        <v>511</v>
      </c>
      <c r="Q22" s="88">
        <f t="shared" si="1"/>
        <v>4</v>
      </c>
    </row>
    <row r="23" spans="2:17" x14ac:dyDescent="0.25">
      <c r="P23" s="87" t="s">
        <v>532</v>
      </c>
      <c r="Q23" s="88">
        <f t="shared" si="1"/>
        <v>5</v>
      </c>
    </row>
    <row r="24" spans="2:17" x14ac:dyDescent="0.25">
      <c r="P24" s="87" t="s">
        <v>650</v>
      </c>
      <c r="Q24" s="88">
        <f t="shared" si="1"/>
        <v>5</v>
      </c>
    </row>
    <row r="25" spans="2:17" x14ac:dyDescent="0.25">
      <c r="P25" s="87"/>
      <c r="Q25" s="88">
        <f t="shared" si="1"/>
        <v>0</v>
      </c>
    </row>
    <row r="26" spans="2:17" x14ac:dyDescent="0.25">
      <c r="P26" s="42" t="s">
        <v>52</v>
      </c>
      <c r="Q26" s="43">
        <f>COUNTIFS(Participation_tournoi,"LOL",team,"")</f>
        <v>0</v>
      </c>
    </row>
    <row r="27" spans="2:17" x14ac:dyDescent="0.25">
      <c r="P27" s="48"/>
      <c r="Q27" s="10"/>
    </row>
    <row r="28" spans="2:17" x14ac:dyDescent="0.25">
      <c r="P28" s="46" t="str">
        <f>COUNTA(P4:P24)&amp;" teams"</f>
        <v>21 teams</v>
      </c>
      <c r="Q28" s="47" t="str">
        <f>SUM(Q4:Q26)&amp;" joueurs"</f>
        <v>108 joueurs</v>
      </c>
    </row>
  </sheetData>
  <mergeCells count="2">
    <mergeCell ref="B2:C2"/>
    <mergeCell ref="P2:Q2"/>
  </mergeCells>
  <conditionalFormatting sqref="C19 C4:C17 Q4:Q28">
    <cfRule type="cellIs" dxfId="48" priority="10" operator="equal">
      <formula>0</formula>
    </cfRule>
  </conditionalFormatting>
  <conditionalFormatting sqref="C20">
    <cfRule type="cellIs" dxfId="47" priority="7" operator="equal">
      <formula>0</formula>
    </cfRule>
  </conditionalFormatting>
  <conditionalFormatting sqref="Q4:Q25">
    <cfRule type="cellIs" dxfId="46" priority="6" operator="greaterThanOrEqual">
      <formula>5</formula>
    </cfRule>
  </conditionalFormatting>
  <conditionalFormatting sqref="C4:C17">
    <cfRule type="cellIs" dxfId="45" priority="5" operator="greaterThanOrEqual">
      <formula>5</formula>
    </cfRule>
  </conditionalFormatting>
  <conditionalFormatting sqref="C18">
    <cfRule type="cellIs" dxfId="44" priority="4" operator="equal">
      <formula>0</formula>
    </cfRule>
  </conditionalFormatting>
  <conditionalFormatting sqref="C18">
    <cfRule type="cellIs" dxfId="43" priority="3" operator="greaterThanOrEqual">
      <formula>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1"/>
  <sheetViews>
    <sheetView workbookViewId="0">
      <selection activeCell="F20" sqref="F20"/>
    </sheetView>
  </sheetViews>
  <sheetFormatPr baseColWidth="10" defaultRowHeight="15" x14ac:dyDescent="0.25"/>
  <cols>
    <col min="1" max="1" width="19.28515625" style="96" customWidth="1"/>
    <col min="2" max="2" width="11.42578125" style="96"/>
    <col min="3" max="4" width="10.85546875" style="96" bestFit="1" customWidth="1"/>
    <col min="5" max="5" width="11.42578125" style="96"/>
    <col min="6" max="6" width="16.85546875" style="96" customWidth="1"/>
    <col min="7" max="9" width="11.42578125" style="96"/>
    <col min="10" max="10" width="13.7109375" style="96" customWidth="1"/>
    <col min="11" max="11" width="11.42578125" style="96"/>
    <col min="12" max="12" width="10.85546875" style="96" bestFit="1" customWidth="1"/>
    <col min="13" max="13" width="10" style="96" bestFit="1" customWidth="1"/>
    <col min="14" max="16384" width="11.42578125" style="96"/>
  </cols>
  <sheetData>
    <row r="1" spans="1:13" ht="18.75" x14ac:dyDescent="0.3">
      <c r="A1" s="102" t="s">
        <v>683</v>
      </c>
      <c r="B1" s="103"/>
      <c r="C1" s="119"/>
      <c r="D1" s="120"/>
      <c r="E1" s="95"/>
      <c r="F1" s="102" t="s">
        <v>684</v>
      </c>
      <c r="G1" s="119"/>
      <c r="H1" s="104"/>
      <c r="I1" s="95"/>
      <c r="J1" s="102" t="s">
        <v>685</v>
      </c>
      <c r="K1" s="119"/>
      <c r="L1" s="119"/>
      <c r="M1" s="120"/>
    </row>
    <row r="2" spans="1:13" ht="18.75" x14ac:dyDescent="0.3">
      <c r="A2" s="131"/>
      <c r="B2" s="132"/>
      <c r="C2" s="134" t="s">
        <v>706</v>
      </c>
      <c r="D2" s="135" t="s">
        <v>707</v>
      </c>
      <c r="E2" s="95"/>
      <c r="F2" s="131"/>
      <c r="G2" s="133"/>
      <c r="H2" s="120"/>
      <c r="I2" s="95"/>
      <c r="J2" s="131"/>
      <c r="K2" s="133"/>
      <c r="L2" s="134" t="s">
        <v>706</v>
      </c>
      <c r="M2" s="135" t="s">
        <v>707</v>
      </c>
    </row>
    <row r="3" spans="1:13" x14ac:dyDescent="0.25">
      <c r="A3" s="105" t="str">
        <f>"Joueurs attendus ("&amp;Equipes!P28&amp;") :"</f>
        <v>Joueurs attendus (21 teams) :</v>
      </c>
      <c r="B3" s="56"/>
      <c r="C3" s="121">
        <f>COUNTIF(Participation_tournoi,"LOL")</f>
        <v>108</v>
      </c>
      <c r="D3" s="106">
        <v>120</v>
      </c>
      <c r="F3" s="105" t="str">
        <f>"Joueurs attendus ("&amp;Equipes!B20&amp;") :"</f>
        <v>Joueurs attendus (8 teams) :</v>
      </c>
      <c r="G3" s="52"/>
      <c r="H3" s="140">
        <f>COUNTIF(Participation_tournoi,"CS:GO")</f>
        <v>41</v>
      </c>
      <c r="J3" s="105" t="s">
        <v>686</v>
      </c>
      <c r="K3" s="52"/>
      <c r="L3" s="121">
        <f>COUNTIF(Participation_tournoi,"HS")</f>
        <v>20</v>
      </c>
      <c r="M3" s="106">
        <v>16</v>
      </c>
    </row>
    <row r="4" spans="1:13" x14ac:dyDescent="0.25">
      <c r="A4" s="105" t="s">
        <v>687</v>
      </c>
      <c r="B4" s="56"/>
      <c r="C4" s="111">
        <f>C3*20</f>
        <v>2160</v>
      </c>
      <c r="D4" s="107">
        <f>D3*20</f>
        <v>2400</v>
      </c>
      <c r="F4" s="105" t="s">
        <v>687</v>
      </c>
      <c r="G4" s="52"/>
      <c r="H4" s="141">
        <f>H3*20</f>
        <v>820</v>
      </c>
      <c r="J4" s="105" t="s">
        <v>687</v>
      </c>
      <c r="K4" s="52"/>
      <c r="L4" s="111">
        <f>L3*20</f>
        <v>400</v>
      </c>
      <c r="M4" s="107">
        <f>M3*20</f>
        <v>320</v>
      </c>
    </row>
    <row r="5" spans="1:13" x14ac:dyDescent="0.25">
      <c r="A5" s="105"/>
      <c r="B5" s="108"/>
      <c r="C5" s="56"/>
      <c r="D5" s="109"/>
      <c r="F5" s="105"/>
      <c r="G5" s="124"/>
      <c r="H5" s="109"/>
      <c r="J5" s="105"/>
      <c r="K5" s="129"/>
      <c r="L5" s="56"/>
      <c r="M5" s="109"/>
    </row>
    <row r="6" spans="1:13" x14ac:dyDescent="0.25">
      <c r="A6" s="110" t="s">
        <v>688</v>
      </c>
      <c r="B6" s="111"/>
      <c r="C6" s="122"/>
      <c r="D6" s="112"/>
      <c r="E6" s="98"/>
      <c r="F6" s="110" t="s">
        <v>688</v>
      </c>
      <c r="G6" s="127"/>
      <c r="H6" s="112"/>
      <c r="I6" s="98"/>
      <c r="J6" s="110" t="s">
        <v>688</v>
      </c>
      <c r="K6" s="130"/>
      <c r="L6" s="122"/>
      <c r="M6" s="112"/>
    </row>
    <row r="7" spans="1:13" x14ac:dyDescent="0.25">
      <c r="A7" s="105" t="s">
        <v>689</v>
      </c>
      <c r="B7" s="108">
        <f>100*5</f>
        <v>500</v>
      </c>
      <c r="C7" s="56"/>
      <c r="D7" s="109"/>
      <c r="F7" s="105" t="s">
        <v>690</v>
      </c>
      <c r="G7" s="124">
        <f>80*5</f>
        <v>400</v>
      </c>
      <c r="H7" s="109"/>
      <c r="J7" s="105" t="s">
        <v>691</v>
      </c>
      <c r="K7" s="129">
        <v>100</v>
      </c>
      <c r="L7" s="56"/>
      <c r="M7" s="109"/>
    </row>
    <row r="8" spans="1:13" x14ac:dyDescent="0.25">
      <c r="A8" s="105" t="s">
        <v>692</v>
      </c>
      <c r="B8" s="108">
        <f>60*5</f>
        <v>300</v>
      </c>
      <c r="C8" s="56"/>
      <c r="D8" s="109"/>
      <c r="F8" s="105" t="s">
        <v>693</v>
      </c>
      <c r="G8" s="124">
        <f>50*5</f>
        <v>250</v>
      </c>
      <c r="H8" s="109"/>
      <c r="J8" s="105" t="s">
        <v>694</v>
      </c>
      <c r="K8" s="129">
        <v>60</v>
      </c>
      <c r="L8" s="56"/>
      <c r="M8" s="109"/>
    </row>
    <row r="9" spans="1:13" x14ac:dyDescent="0.25">
      <c r="A9" s="105" t="s">
        <v>695</v>
      </c>
      <c r="B9" s="108">
        <f>40*5</f>
        <v>200</v>
      </c>
      <c r="C9" s="123">
        <f>SUM(B7:B9)</f>
        <v>1000</v>
      </c>
      <c r="D9" s="113">
        <f>SUM(C7:C9)</f>
        <v>1000</v>
      </c>
      <c r="E9" s="118"/>
      <c r="F9" s="105" t="s">
        <v>696</v>
      </c>
      <c r="G9" s="124">
        <f>30*5</f>
        <v>150</v>
      </c>
      <c r="H9" s="113">
        <f>SUM(G7:G9)</f>
        <v>800</v>
      </c>
      <c r="J9" s="105" t="s">
        <v>697</v>
      </c>
      <c r="K9" s="129">
        <v>40</v>
      </c>
      <c r="L9" s="123">
        <f>SUM(K7:K9)</f>
        <v>200</v>
      </c>
      <c r="M9" s="113">
        <f>SUM(L7:L9)</f>
        <v>200</v>
      </c>
    </row>
    <row r="10" spans="1:13" ht="15.75" thickBot="1" x14ac:dyDescent="0.3">
      <c r="A10" s="110" t="s">
        <v>698</v>
      </c>
      <c r="B10" s="56"/>
      <c r="C10" s="100">
        <f>C4-B7-B8-B9</f>
        <v>1160</v>
      </c>
      <c r="D10" s="114">
        <f>D4-C7-C8-C9</f>
        <v>1400</v>
      </c>
      <c r="F10" s="110" t="s">
        <v>698</v>
      </c>
      <c r="G10" s="52"/>
      <c r="H10" s="142">
        <f>H4-G7-G8-G9</f>
        <v>20</v>
      </c>
      <c r="J10" s="110" t="s">
        <v>698</v>
      </c>
      <c r="K10" s="52"/>
      <c r="L10" s="100">
        <f>L4-K7-K8-K9</f>
        <v>200</v>
      </c>
      <c r="M10" s="114">
        <f>M4-L7-L8-L9</f>
        <v>120</v>
      </c>
    </row>
    <row r="11" spans="1:13" ht="15.75" thickTop="1" x14ac:dyDescent="0.25">
      <c r="A11" s="105"/>
      <c r="B11" s="56"/>
      <c r="C11" s="124"/>
      <c r="D11" s="115"/>
      <c r="F11" s="105"/>
      <c r="G11" s="124"/>
      <c r="H11" s="109"/>
      <c r="J11" s="105"/>
      <c r="K11" s="52"/>
      <c r="L11" s="124"/>
      <c r="M11" s="115"/>
    </row>
    <row r="12" spans="1:13" x14ac:dyDescent="0.25">
      <c r="A12" s="116" t="s">
        <v>699</v>
      </c>
      <c r="B12" s="56"/>
      <c r="C12" s="124">
        <f>26*5</f>
        <v>130</v>
      </c>
      <c r="D12" s="115">
        <f>26*5</f>
        <v>130</v>
      </c>
      <c r="F12" s="116"/>
      <c r="G12" s="56"/>
      <c r="H12" s="109"/>
      <c r="J12" s="105" t="s">
        <v>700</v>
      </c>
      <c r="K12" s="52"/>
      <c r="L12" s="124">
        <v>24</v>
      </c>
      <c r="M12" s="115">
        <v>24</v>
      </c>
    </row>
    <row r="13" spans="1:13" x14ac:dyDescent="0.25">
      <c r="A13" s="116" t="s">
        <v>701</v>
      </c>
      <c r="B13" s="56"/>
      <c r="C13" s="136">
        <f>13*5</f>
        <v>65</v>
      </c>
      <c r="D13" s="138">
        <f>13*5</f>
        <v>65</v>
      </c>
      <c r="F13" s="116"/>
      <c r="G13" s="56"/>
      <c r="H13" s="109"/>
      <c r="J13" s="105"/>
      <c r="K13" s="52"/>
      <c r="L13" s="124"/>
      <c r="M13" s="115"/>
    </row>
    <row r="14" spans="1:13" ht="15.75" thickBot="1" x14ac:dyDescent="0.3">
      <c r="A14" s="110" t="s">
        <v>702</v>
      </c>
      <c r="B14" s="56"/>
      <c r="C14" s="101">
        <f>C10-C12-C13</f>
        <v>965</v>
      </c>
      <c r="D14" s="139">
        <f>D10-D12-D13</f>
        <v>1205</v>
      </c>
      <c r="F14" s="110" t="s">
        <v>702</v>
      </c>
      <c r="G14" s="56"/>
      <c r="H14" s="139">
        <f>H10-H12-H13</f>
        <v>20</v>
      </c>
      <c r="J14" s="110" t="s">
        <v>702</v>
      </c>
      <c r="K14" s="56"/>
      <c r="L14" s="101">
        <f>L10-L12-L13</f>
        <v>176</v>
      </c>
      <c r="M14" s="139">
        <f>M10-M12-M13</f>
        <v>96</v>
      </c>
    </row>
    <row r="15" spans="1:13" ht="15.75" thickTop="1" x14ac:dyDescent="0.25">
      <c r="A15" s="128"/>
      <c r="B15" s="137"/>
      <c r="C15" s="117"/>
      <c r="D15" s="125"/>
      <c r="F15" s="128"/>
      <c r="G15" s="117"/>
      <c r="H15" s="125"/>
      <c r="J15" s="128"/>
      <c r="K15" s="117"/>
      <c r="L15" s="117"/>
      <c r="M15" s="125"/>
    </row>
    <row r="16" spans="1:13" x14ac:dyDescent="0.25">
      <c r="B16" s="97"/>
    </row>
    <row r="17" spans="1:13" x14ac:dyDescent="0.25">
      <c r="B17" s="97"/>
    </row>
    <row r="18" spans="1:13" x14ac:dyDescent="0.25">
      <c r="A18" s="96" t="s">
        <v>703</v>
      </c>
      <c r="D18" s="126">
        <f>C14+H10+L13</f>
        <v>985</v>
      </c>
      <c r="M18" s="126"/>
    </row>
    <row r="19" spans="1:13" x14ac:dyDescent="0.25">
      <c r="A19" s="99" t="s">
        <v>704</v>
      </c>
      <c r="D19" s="126">
        <f>6*20</f>
        <v>120</v>
      </c>
      <c r="M19" s="126"/>
    </row>
    <row r="20" spans="1:13" x14ac:dyDescent="0.25">
      <c r="D20" s="126"/>
      <c r="M20" s="126"/>
    </row>
    <row r="21" spans="1:13" x14ac:dyDescent="0.25">
      <c r="A21" s="96" t="s">
        <v>705</v>
      </c>
      <c r="D21" s="126">
        <f>D18+D19</f>
        <v>1105</v>
      </c>
      <c r="M21" s="12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2:K83"/>
  <sheetViews>
    <sheetView workbookViewId="0">
      <selection activeCell="B31" sqref="B31"/>
    </sheetView>
  </sheetViews>
  <sheetFormatPr baseColWidth="10" defaultRowHeight="15" x14ac:dyDescent="0.25"/>
  <cols>
    <col min="1" max="1" width="11.42578125" style="5"/>
    <col min="2" max="2" width="34.7109375" style="5" bestFit="1" customWidth="1"/>
    <col min="3" max="4" width="11.42578125" style="5"/>
    <col min="5" max="5" width="14" style="50" customWidth="1"/>
    <col min="6" max="6" width="11.42578125" style="5" customWidth="1"/>
    <col min="7" max="9" width="11.42578125" style="5"/>
    <col min="10" max="10" width="13.28515625" style="5" bestFit="1" customWidth="1"/>
    <col min="11" max="16384" width="11.42578125" style="5"/>
  </cols>
  <sheetData>
    <row r="2" spans="2:7" x14ac:dyDescent="0.25">
      <c r="C2" s="205"/>
      <c r="D2" s="205"/>
      <c r="F2" s="205"/>
      <c r="G2" s="205"/>
    </row>
    <row r="3" spans="2:7" x14ac:dyDescent="0.25">
      <c r="C3" s="50"/>
      <c r="D3" s="50"/>
      <c r="F3" s="50"/>
      <c r="G3" s="50"/>
    </row>
    <row r="4" spans="2:7" x14ac:dyDescent="0.25">
      <c r="B4" s="52"/>
      <c r="C4" s="52"/>
      <c r="D4" s="52"/>
      <c r="E4" s="53"/>
      <c r="F4" s="52"/>
      <c r="G4" s="54"/>
    </row>
    <row r="5" spans="2:7" x14ac:dyDescent="0.25">
      <c r="G5" s="51"/>
    </row>
    <row r="6" spans="2:7" x14ac:dyDescent="0.25">
      <c r="B6" s="52"/>
      <c r="C6" s="52"/>
      <c r="D6" s="52"/>
      <c r="E6" s="53"/>
      <c r="F6" s="52"/>
      <c r="G6" s="54"/>
    </row>
    <row r="7" spans="2:7" x14ac:dyDescent="0.25">
      <c r="G7" s="51"/>
    </row>
    <row r="8" spans="2:7" x14ac:dyDescent="0.25">
      <c r="B8" s="52"/>
      <c r="C8" s="52"/>
      <c r="D8" s="52"/>
      <c r="E8" s="53"/>
      <c r="F8" s="52"/>
      <c r="G8" s="54"/>
    </row>
    <row r="9" spans="2:7" x14ac:dyDescent="0.25">
      <c r="G9" s="51"/>
    </row>
    <row r="10" spans="2:7" x14ac:dyDescent="0.25">
      <c r="B10" s="52"/>
      <c r="C10" s="52"/>
      <c r="D10" s="52"/>
      <c r="E10" s="53"/>
      <c r="F10" s="52"/>
      <c r="G10" s="54"/>
    </row>
    <row r="11" spans="2:7" x14ac:dyDescent="0.25">
      <c r="G11" s="51"/>
    </row>
    <row r="12" spans="2:7" x14ac:dyDescent="0.25">
      <c r="B12" s="52"/>
      <c r="C12" s="52"/>
      <c r="D12" s="52"/>
      <c r="E12" s="53"/>
      <c r="F12" s="52"/>
      <c r="G12" s="54"/>
    </row>
    <row r="13" spans="2:7" x14ac:dyDescent="0.25">
      <c r="G13" s="51"/>
    </row>
    <row r="14" spans="2:7" x14ac:dyDescent="0.25">
      <c r="B14" s="52"/>
      <c r="C14" s="52"/>
      <c r="D14" s="52"/>
      <c r="E14" s="53"/>
      <c r="F14" s="52"/>
      <c r="G14" s="54"/>
    </row>
    <row r="15" spans="2:7" x14ac:dyDescent="0.25">
      <c r="G15" s="51"/>
    </row>
    <row r="16" spans="2:7" x14ac:dyDescent="0.25">
      <c r="B16" s="52"/>
      <c r="C16" s="52"/>
      <c r="D16" s="52"/>
      <c r="E16" s="53"/>
      <c r="F16" s="52"/>
      <c r="G16" s="54"/>
    </row>
    <row r="17" spans="2:7" x14ac:dyDescent="0.25">
      <c r="G17" s="51"/>
    </row>
    <row r="18" spans="2:7" x14ac:dyDescent="0.25">
      <c r="B18" s="52"/>
      <c r="C18" s="52"/>
      <c r="D18" s="52"/>
      <c r="E18" s="53"/>
      <c r="F18" s="52"/>
      <c r="G18" s="54"/>
    </row>
    <row r="19" spans="2:7" x14ac:dyDescent="0.25">
      <c r="G19" s="51"/>
    </row>
    <row r="20" spans="2:7" x14ac:dyDescent="0.25">
      <c r="B20" s="52"/>
      <c r="C20" s="52"/>
      <c r="D20" s="52"/>
      <c r="E20" s="53"/>
      <c r="F20" s="52"/>
      <c r="G20" s="54"/>
    </row>
    <row r="21" spans="2:7" x14ac:dyDescent="0.25">
      <c r="G21" s="51"/>
    </row>
    <row r="22" spans="2:7" x14ac:dyDescent="0.25">
      <c r="B22" s="52"/>
      <c r="C22" s="52"/>
      <c r="D22" s="52"/>
      <c r="E22" s="53"/>
      <c r="F22" s="52"/>
      <c r="G22" s="54"/>
    </row>
    <row r="23" spans="2:7" x14ac:dyDescent="0.25">
      <c r="G23" s="51"/>
    </row>
    <row r="24" spans="2:7" x14ac:dyDescent="0.25">
      <c r="B24" s="56"/>
      <c r="C24" s="56"/>
      <c r="D24" s="56"/>
      <c r="E24" s="57"/>
      <c r="F24" s="56"/>
      <c r="G24" s="58"/>
    </row>
    <row r="25" spans="2:7" x14ac:dyDescent="0.25">
      <c r="B25" s="52"/>
      <c r="C25" s="52"/>
      <c r="D25" s="52"/>
      <c r="E25" s="53"/>
      <c r="F25" s="52"/>
      <c r="G25" s="54"/>
    </row>
    <row r="26" spans="2:7" x14ac:dyDescent="0.25">
      <c r="G26" s="51"/>
    </row>
    <row r="27" spans="2:7" x14ac:dyDescent="0.25">
      <c r="B27" s="52"/>
      <c r="C27" s="52"/>
      <c r="D27" s="52"/>
      <c r="E27" s="53"/>
      <c r="F27" s="52"/>
      <c r="G27" s="54"/>
    </row>
    <row r="28" spans="2:7" x14ac:dyDescent="0.25">
      <c r="G28" s="51"/>
    </row>
    <row r="29" spans="2:7" x14ac:dyDescent="0.25">
      <c r="B29" s="52"/>
      <c r="C29" s="52"/>
      <c r="D29" s="52"/>
      <c r="E29" s="53"/>
      <c r="F29" s="52"/>
      <c r="G29" s="54"/>
    </row>
    <row r="30" spans="2:7" x14ac:dyDescent="0.25">
      <c r="G30" s="51"/>
    </row>
    <row r="31" spans="2:7" x14ac:dyDescent="0.25">
      <c r="B31" s="52"/>
      <c r="C31" s="52"/>
      <c r="D31" s="52"/>
      <c r="E31" s="53"/>
      <c r="F31" s="52"/>
      <c r="G31" s="54"/>
    </row>
    <row r="32" spans="2:7" x14ac:dyDescent="0.25">
      <c r="G32" s="51"/>
    </row>
    <row r="33" spans="2:7" x14ac:dyDescent="0.25">
      <c r="B33" s="52"/>
      <c r="C33" s="52"/>
      <c r="D33" s="52"/>
      <c r="E33" s="53"/>
      <c r="F33" s="52"/>
      <c r="G33" s="54"/>
    </row>
    <row r="34" spans="2:7" x14ac:dyDescent="0.25">
      <c r="G34" s="51"/>
    </row>
    <row r="35" spans="2:7" x14ac:dyDescent="0.25">
      <c r="B35" s="52"/>
      <c r="C35" s="52"/>
      <c r="D35" s="52"/>
      <c r="E35" s="53"/>
      <c r="F35" s="52"/>
      <c r="G35" s="54"/>
    </row>
    <row r="36" spans="2:7" x14ac:dyDescent="0.25">
      <c r="G36" s="51"/>
    </row>
    <row r="37" spans="2:7" x14ac:dyDescent="0.25">
      <c r="B37" s="52"/>
      <c r="C37" s="52"/>
      <c r="D37" s="52"/>
      <c r="E37" s="53"/>
      <c r="F37" s="52"/>
      <c r="G37" s="54"/>
    </row>
    <row r="38" spans="2:7" x14ac:dyDescent="0.25">
      <c r="G38" s="51"/>
    </row>
    <row r="39" spans="2:7" x14ac:dyDescent="0.25">
      <c r="B39" s="52"/>
      <c r="C39" s="52"/>
      <c r="D39" s="52"/>
      <c r="E39" s="53"/>
      <c r="F39" s="52"/>
      <c r="G39" s="54"/>
    </row>
    <row r="40" spans="2:7" x14ac:dyDescent="0.25">
      <c r="G40" s="51"/>
    </row>
    <row r="41" spans="2:7" x14ac:dyDescent="0.25">
      <c r="B41" s="52"/>
      <c r="C41" s="52"/>
      <c r="D41" s="52"/>
      <c r="E41" s="53"/>
      <c r="F41" s="52"/>
      <c r="G41" s="54"/>
    </row>
    <row r="42" spans="2:7" x14ac:dyDescent="0.25">
      <c r="G42" s="51"/>
    </row>
    <row r="43" spans="2:7" x14ac:dyDescent="0.25">
      <c r="B43" s="52"/>
      <c r="C43" s="52"/>
      <c r="D43" s="52"/>
      <c r="E43" s="53"/>
      <c r="F43" s="52"/>
      <c r="G43" s="54"/>
    </row>
    <row r="44" spans="2:7" x14ac:dyDescent="0.25">
      <c r="G44" s="51"/>
    </row>
    <row r="45" spans="2:7" x14ac:dyDescent="0.25">
      <c r="B45" s="52"/>
      <c r="C45" s="52"/>
      <c r="D45" s="52"/>
      <c r="E45" s="53"/>
      <c r="F45" s="52"/>
      <c r="G45" s="54"/>
    </row>
    <row r="46" spans="2:7" x14ac:dyDescent="0.25">
      <c r="G46" s="51"/>
    </row>
    <row r="47" spans="2:7" x14ac:dyDescent="0.25">
      <c r="B47" s="52"/>
      <c r="C47" s="52"/>
      <c r="D47" s="52"/>
      <c r="E47" s="53"/>
      <c r="F47" s="52"/>
      <c r="G47" s="54"/>
    </row>
    <row r="48" spans="2:7" x14ac:dyDescent="0.25">
      <c r="G48" s="51"/>
    </row>
    <row r="49" spans="2:11" x14ac:dyDescent="0.25">
      <c r="B49" s="52"/>
      <c r="C49" s="52"/>
      <c r="D49" s="52"/>
      <c r="E49" s="53"/>
      <c r="F49" s="52"/>
      <c r="G49" s="54"/>
    </row>
    <row r="50" spans="2:11" x14ac:dyDescent="0.25">
      <c r="G50" s="51"/>
    </row>
    <row r="51" spans="2:11" ht="15.75" thickBot="1" x14ac:dyDescent="0.3">
      <c r="B51" s="59"/>
      <c r="C51" s="59"/>
      <c r="D51" s="59"/>
      <c r="E51" s="60"/>
      <c r="F51" s="59"/>
      <c r="G51" s="61"/>
      <c r="I51" s="51">
        <f>SUM(G4:G51)</f>
        <v>0</v>
      </c>
      <c r="J51" s="5" t="s">
        <v>58</v>
      </c>
      <c r="K51" s="5">
        <f>I51/150</f>
        <v>0</v>
      </c>
    </row>
    <row r="52" spans="2:11" x14ac:dyDescent="0.25">
      <c r="G52" s="51"/>
    </row>
    <row r="53" spans="2:11" x14ac:dyDescent="0.25">
      <c r="B53" s="52"/>
      <c r="C53" s="52"/>
      <c r="D53" s="52"/>
      <c r="E53" s="53"/>
      <c r="F53" s="52"/>
      <c r="G53" s="54"/>
    </row>
    <row r="54" spans="2:11" x14ac:dyDescent="0.25">
      <c r="G54" s="51"/>
    </row>
    <row r="55" spans="2:11" x14ac:dyDescent="0.25">
      <c r="B55" s="52"/>
      <c r="C55" s="52"/>
      <c r="D55" s="52"/>
      <c r="E55" s="53"/>
      <c r="F55" s="52"/>
      <c r="G55" s="54"/>
    </row>
    <row r="56" spans="2:11" x14ac:dyDescent="0.25">
      <c r="G56" s="51"/>
    </row>
    <row r="57" spans="2:11" x14ac:dyDescent="0.25">
      <c r="B57" s="52"/>
      <c r="C57" s="52"/>
      <c r="D57" s="52"/>
      <c r="E57" s="53"/>
      <c r="F57" s="52"/>
      <c r="G57" s="54"/>
    </row>
    <row r="58" spans="2:11" x14ac:dyDescent="0.25">
      <c r="G58" s="51"/>
    </row>
    <row r="59" spans="2:11" x14ac:dyDescent="0.25">
      <c r="B59" s="52"/>
      <c r="C59" s="52"/>
      <c r="D59" s="52"/>
      <c r="E59" s="53"/>
      <c r="F59" s="52"/>
      <c r="G59" s="54"/>
    </row>
    <row r="60" spans="2:11" x14ac:dyDescent="0.25">
      <c r="G60" s="51"/>
    </row>
    <row r="61" spans="2:11" x14ac:dyDescent="0.25">
      <c r="B61" s="52"/>
      <c r="C61" s="52"/>
      <c r="D61" s="52"/>
      <c r="E61" s="53"/>
      <c r="F61" s="52"/>
      <c r="G61" s="54"/>
    </row>
    <row r="62" spans="2:11" x14ac:dyDescent="0.25">
      <c r="G62" s="51"/>
    </row>
    <row r="63" spans="2:11" x14ac:dyDescent="0.25">
      <c r="B63" s="52"/>
      <c r="C63" s="52"/>
      <c r="D63" s="52"/>
      <c r="E63" s="53"/>
      <c r="F63" s="52"/>
      <c r="G63" s="54"/>
    </row>
    <row r="64" spans="2:11" x14ac:dyDescent="0.25">
      <c r="G64" s="51"/>
    </row>
    <row r="65" spans="2:11" x14ac:dyDescent="0.25">
      <c r="B65" s="52"/>
      <c r="C65" s="52"/>
      <c r="D65" s="52"/>
      <c r="E65" s="53"/>
      <c r="F65" s="52"/>
      <c r="G65" s="54"/>
    </row>
    <row r="66" spans="2:11" x14ac:dyDescent="0.25">
      <c r="G66" s="51"/>
    </row>
    <row r="67" spans="2:11" x14ac:dyDescent="0.25">
      <c r="B67" s="52"/>
      <c r="C67" s="52"/>
      <c r="D67" s="52"/>
      <c r="E67" s="53"/>
      <c r="F67" s="52"/>
      <c r="G67" s="54"/>
    </row>
    <row r="68" spans="2:11" x14ac:dyDescent="0.25">
      <c r="G68" s="51"/>
    </row>
    <row r="69" spans="2:11" x14ac:dyDescent="0.25">
      <c r="B69" s="52"/>
      <c r="C69" s="52"/>
      <c r="D69" s="52"/>
      <c r="E69" s="53"/>
      <c r="F69" s="52"/>
      <c r="G69" s="54"/>
    </row>
    <row r="70" spans="2:11" x14ac:dyDescent="0.25">
      <c r="G70" s="51"/>
    </row>
    <row r="71" spans="2:11" x14ac:dyDescent="0.25">
      <c r="B71" s="52"/>
      <c r="C71" s="52"/>
      <c r="D71" s="52"/>
      <c r="E71" s="53"/>
      <c r="F71" s="52"/>
      <c r="G71" s="54"/>
    </row>
    <row r="72" spans="2:11" x14ac:dyDescent="0.25">
      <c r="G72" s="51"/>
    </row>
    <row r="73" spans="2:11" x14ac:dyDescent="0.25">
      <c r="G73" s="51"/>
      <c r="I73" s="51">
        <f>SUM(G52:G72)</f>
        <v>0</v>
      </c>
      <c r="J73" s="5" t="s">
        <v>59</v>
      </c>
      <c r="K73" s="5">
        <f>I73/50</f>
        <v>0</v>
      </c>
    </row>
    <row r="74" spans="2:11" x14ac:dyDescent="0.25">
      <c r="B74" s="52"/>
      <c r="C74" s="52"/>
      <c r="D74" s="52"/>
      <c r="E74" s="53"/>
      <c r="F74" s="52"/>
      <c r="G74" s="54"/>
    </row>
    <row r="75" spans="2:11" x14ac:dyDescent="0.25">
      <c r="G75" s="51"/>
    </row>
    <row r="76" spans="2:11" x14ac:dyDescent="0.25">
      <c r="B76" s="52"/>
      <c r="C76" s="52"/>
      <c r="D76" s="52"/>
      <c r="E76" s="53"/>
      <c r="F76" s="52"/>
      <c r="G76" s="54"/>
    </row>
    <row r="77" spans="2:11" x14ac:dyDescent="0.25">
      <c r="G77" s="51"/>
    </row>
    <row r="78" spans="2:11" x14ac:dyDescent="0.25">
      <c r="B78" s="52"/>
      <c r="C78" s="52"/>
      <c r="D78" s="52"/>
      <c r="E78" s="53"/>
      <c r="F78" s="52"/>
      <c r="G78" s="54"/>
    </row>
    <row r="79" spans="2:11" x14ac:dyDescent="0.25">
      <c r="G79" s="51"/>
    </row>
    <row r="80" spans="2:11" x14ac:dyDescent="0.25">
      <c r="B80" s="52"/>
      <c r="C80" s="52"/>
      <c r="D80" s="52"/>
      <c r="E80" s="53"/>
      <c r="F80" s="52"/>
      <c r="G80" s="54"/>
    </row>
    <row r="81" spans="7:7" x14ac:dyDescent="0.25">
      <c r="G81" s="51"/>
    </row>
    <row r="83" spans="7:7" ht="17.25" x14ac:dyDescent="0.4">
      <c r="G83" s="55"/>
    </row>
  </sheetData>
  <mergeCells count="2">
    <mergeCell ref="C2:D2"/>
    <mergeCell ref="F2:G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I345"/>
  <sheetViews>
    <sheetView tabSelected="1" topLeftCell="D1" zoomScale="80" zoomScaleNormal="80" workbookViewId="0">
      <pane ySplit="1" topLeftCell="A29" activePane="bottomLeft" state="frozen"/>
      <selection pane="bottomLeft" activeCell="E40" sqref="E40"/>
    </sheetView>
  </sheetViews>
  <sheetFormatPr baseColWidth="10" defaultRowHeight="15" x14ac:dyDescent="0.25"/>
  <cols>
    <col min="1" max="1" width="11.5703125" style="2" customWidth="1"/>
    <col min="2" max="2" width="16.28515625" bestFit="1" customWidth="1"/>
    <col min="3" max="3" width="12.5703125" bestFit="1" customWidth="1"/>
    <col min="4" max="4" width="16.28515625" bestFit="1" customWidth="1"/>
    <col min="5" max="5" width="18.28515625" customWidth="1"/>
    <col min="6" max="6" width="17.42578125" bestFit="1" customWidth="1"/>
    <col min="7" max="7" width="21.42578125" bestFit="1" customWidth="1"/>
    <col min="8" max="8" width="23.7109375" customWidth="1"/>
    <col min="9" max="9" width="16" customWidth="1"/>
    <col min="10" max="10" width="9" style="85" customWidth="1"/>
    <col min="11" max="11" width="14.5703125" style="84" customWidth="1"/>
    <col min="12" max="12" width="15.42578125" style="84" customWidth="1"/>
    <col min="13" max="13" width="13.28515625" style="84" customWidth="1"/>
    <col min="14" max="14" width="13.5703125" style="84" customWidth="1"/>
    <col min="15" max="15" width="18" style="84" customWidth="1"/>
    <col min="16" max="16" width="15.7109375" style="84" customWidth="1"/>
    <col min="17" max="17" width="13" customWidth="1"/>
    <col min="18" max="18" width="9.85546875" bestFit="1" customWidth="1"/>
    <col min="19" max="20" width="11" customWidth="1"/>
    <col min="29" max="34" width="11.42578125" style="1"/>
  </cols>
  <sheetData>
    <row r="1" spans="1:35" s="72" customFormat="1" ht="31.5" customHeight="1" thickBot="1" x14ac:dyDescent="0.3">
      <c r="A1" s="69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34</v>
      </c>
      <c r="J1" s="80" t="s">
        <v>8</v>
      </c>
      <c r="K1" s="80" t="s">
        <v>11</v>
      </c>
      <c r="L1" s="80" t="s">
        <v>78</v>
      </c>
      <c r="M1" s="80" t="s">
        <v>12</v>
      </c>
      <c r="N1" s="80" t="s">
        <v>79</v>
      </c>
      <c r="O1" s="80" t="s">
        <v>80</v>
      </c>
      <c r="P1" s="80" t="s">
        <v>81</v>
      </c>
      <c r="Q1" s="70" t="s">
        <v>9</v>
      </c>
      <c r="R1" s="70" t="s">
        <v>10</v>
      </c>
      <c r="S1" s="71" t="s">
        <v>15</v>
      </c>
      <c r="T1" s="74" t="s">
        <v>106</v>
      </c>
      <c r="U1" s="72" t="s">
        <v>60</v>
      </c>
      <c r="AB1" s="73"/>
      <c r="AC1" s="74"/>
      <c r="AD1" s="74"/>
      <c r="AE1" s="74"/>
      <c r="AF1" s="74"/>
      <c r="AG1" s="74"/>
      <c r="AH1" s="74"/>
      <c r="AI1" s="73"/>
    </row>
    <row r="2" spans="1:35" x14ac:dyDescent="0.25">
      <c r="A2" s="28">
        <v>110794</v>
      </c>
      <c r="B2" s="29" t="s">
        <v>208</v>
      </c>
      <c r="C2" s="29" t="s">
        <v>209</v>
      </c>
      <c r="D2" s="29" t="s">
        <v>170</v>
      </c>
      <c r="E2" s="29"/>
      <c r="F2" s="29" t="s">
        <v>170</v>
      </c>
      <c r="G2" s="29"/>
      <c r="H2" s="28" t="s">
        <v>171</v>
      </c>
      <c r="I2" s="30" t="s">
        <v>85</v>
      </c>
      <c r="J2" s="30" t="s">
        <v>86</v>
      </c>
      <c r="K2" s="30" t="s">
        <v>86</v>
      </c>
      <c r="L2" s="30" t="s">
        <v>86</v>
      </c>
      <c r="M2" s="30" t="s">
        <v>86</v>
      </c>
      <c r="N2" s="30" t="s">
        <v>86</v>
      </c>
      <c r="O2" s="30" t="s">
        <v>86</v>
      </c>
      <c r="P2" s="30" t="s">
        <v>86</v>
      </c>
      <c r="Q2" s="32">
        <f t="shared" ref="Q2:Q33" si="0">IF(R2="Coupon",0,(20+IF(K2="X",13,0)+IF(L2="X",5,0)+IF(M2="X",13,0)+IF(N2="X",13,0)+IF(O2="X",5,0)+IF(P2="X",13,0)-IF(T2="x",15,0)))</f>
        <v>20</v>
      </c>
      <c r="R2" s="31" t="s">
        <v>13</v>
      </c>
      <c r="S2" s="4" t="s">
        <v>113</v>
      </c>
      <c r="T2" s="4"/>
      <c r="U2" s="31" t="s">
        <v>321</v>
      </c>
      <c r="AB2" s="94"/>
      <c r="AI2" s="35"/>
    </row>
    <row r="3" spans="1:35" x14ac:dyDescent="0.25">
      <c r="A3" s="28">
        <v>110795</v>
      </c>
      <c r="B3" s="28" t="s">
        <v>213</v>
      </c>
      <c r="C3" s="28" t="s">
        <v>211</v>
      </c>
      <c r="D3" s="28" t="s">
        <v>172</v>
      </c>
      <c r="E3" s="28"/>
      <c r="F3" s="28" t="s">
        <v>173</v>
      </c>
      <c r="G3" s="28"/>
      <c r="H3" s="28" t="s">
        <v>171</v>
      </c>
      <c r="I3" s="31" t="s">
        <v>85</v>
      </c>
      <c r="J3" s="31" t="s">
        <v>86</v>
      </c>
      <c r="K3" s="31" t="s">
        <v>86</v>
      </c>
      <c r="L3" s="31" t="s">
        <v>86</v>
      </c>
      <c r="M3" s="31" t="s">
        <v>86</v>
      </c>
      <c r="N3" s="31" t="s">
        <v>86</v>
      </c>
      <c r="O3" s="31" t="s">
        <v>86</v>
      </c>
      <c r="P3" s="31" t="s">
        <v>86</v>
      </c>
      <c r="Q3" s="32">
        <f t="shared" si="0"/>
        <v>20</v>
      </c>
      <c r="R3" s="31" t="s">
        <v>13</v>
      </c>
      <c r="S3" s="4" t="s">
        <v>113</v>
      </c>
      <c r="T3" s="4"/>
      <c r="U3" s="31" t="s">
        <v>321</v>
      </c>
      <c r="AI3" s="35"/>
    </row>
    <row r="4" spans="1:35" x14ac:dyDescent="0.25">
      <c r="A4" s="23">
        <v>110800</v>
      </c>
      <c r="B4" s="24" t="s">
        <v>218</v>
      </c>
      <c r="C4" s="24" t="s">
        <v>219</v>
      </c>
      <c r="D4" s="24" t="s">
        <v>180</v>
      </c>
      <c r="E4" s="154"/>
      <c r="F4" s="24" t="s">
        <v>181</v>
      </c>
      <c r="G4" s="24"/>
      <c r="H4" s="28" t="s">
        <v>171</v>
      </c>
      <c r="I4" s="25" t="s">
        <v>85</v>
      </c>
      <c r="J4" s="25" t="s">
        <v>86</v>
      </c>
      <c r="K4" s="25" t="s">
        <v>86</v>
      </c>
      <c r="L4" s="25" t="s">
        <v>86</v>
      </c>
      <c r="M4" s="25" t="s">
        <v>86</v>
      </c>
      <c r="N4" s="25" t="s">
        <v>16</v>
      </c>
      <c r="O4" s="25" t="s">
        <v>86</v>
      </c>
      <c r="P4" s="25" t="s">
        <v>86</v>
      </c>
      <c r="Q4" s="32">
        <f t="shared" si="0"/>
        <v>33</v>
      </c>
      <c r="R4" s="26" t="s">
        <v>13</v>
      </c>
      <c r="S4" s="4" t="s">
        <v>113</v>
      </c>
      <c r="T4" s="4"/>
      <c r="U4" s="31" t="s">
        <v>321</v>
      </c>
      <c r="AB4" s="94"/>
      <c r="AI4" s="35"/>
    </row>
    <row r="5" spans="1:35" x14ac:dyDescent="0.25">
      <c r="A5" s="28">
        <v>110801</v>
      </c>
      <c r="B5" s="28" t="s">
        <v>220</v>
      </c>
      <c r="C5" s="28" t="s">
        <v>221</v>
      </c>
      <c r="D5" s="28" t="s">
        <v>182</v>
      </c>
      <c r="E5" s="28"/>
      <c r="F5" s="28" t="s">
        <v>183</v>
      </c>
      <c r="G5" s="28"/>
      <c r="H5" s="28" t="s">
        <v>171</v>
      </c>
      <c r="I5" s="31" t="s">
        <v>85</v>
      </c>
      <c r="J5" s="31" t="s">
        <v>86</v>
      </c>
      <c r="K5" s="31" t="s">
        <v>86</v>
      </c>
      <c r="L5" s="31" t="s">
        <v>86</v>
      </c>
      <c r="M5" s="31" t="s">
        <v>86</v>
      </c>
      <c r="N5" s="31" t="s">
        <v>16</v>
      </c>
      <c r="O5" s="31" t="s">
        <v>86</v>
      </c>
      <c r="P5" s="31" t="s">
        <v>86</v>
      </c>
      <c r="Q5" s="32">
        <f t="shared" si="0"/>
        <v>33</v>
      </c>
      <c r="R5" s="31" t="s">
        <v>13</v>
      </c>
      <c r="S5" s="4" t="s">
        <v>113</v>
      </c>
      <c r="T5" s="4"/>
      <c r="U5" s="31" t="s">
        <v>321</v>
      </c>
      <c r="AB5" s="94"/>
      <c r="AI5" s="35"/>
    </row>
    <row r="6" spans="1:35" x14ac:dyDescent="0.25">
      <c r="A6" s="28">
        <v>110848</v>
      </c>
      <c r="B6" s="63" t="s">
        <v>421</v>
      </c>
      <c r="C6" s="63" t="s">
        <v>422</v>
      </c>
      <c r="D6" s="28" t="s">
        <v>424</v>
      </c>
      <c r="E6" s="28"/>
      <c r="F6" s="29" t="s">
        <v>423</v>
      </c>
      <c r="G6" s="28"/>
      <c r="H6" s="28" t="s">
        <v>171</v>
      </c>
      <c r="I6" s="31" t="s">
        <v>85</v>
      </c>
      <c r="J6" s="31" t="s">
        <v>86</v>
      </c>
      <c r="K6" s="31" t="s">
        <v>86</v>
      </c>
      <c r="L6" s="31" t="s">
        <v>86</v>
      </c>
      <c r="M6" s="31" t="s">
        <v>86</v>
      </c>
      <c r="N6" s="31" t="s">
        <v>86</v>
      </c>
      <c r="O6" s="31" t="s">
        <v>16</v>
      </c>
      <c r="P6" s="31" t="s">
        <v>86</v>
      </c>
      <c r="Q6" s="32">
        <f t="shared" si="0"/>
        <v>25</v>
      </c>
      <c r="R6" s="31" t="s">
        <v>90</v>
      </c>
      <c r="S6" s="4" t="s">
        <v>113</v>
      </c>
      <c r="T6" s="4"/>
      <c r="U6" s="31"/>
      <c r="AI6" s="35"/>
    </row>
    <row r="7" spans="1:35" x14ac:dyDescent="0.25">
      <c r="A7" s="23">
        <v>110849</v>
      </c>
      <c r="B7" s="23" t="s">
        <v>340</v>
      </c>
      <c r="C7" s="23" t="s">
        <v>198</v>
      </c>
      <c r="D7" s="23" t="s">
        <v>284</v>
      </c>
      <c r="E7" s="23"/>
      <c r="F7" s="23" t="s">
        <v>285</v>
      </c>
      <c r="G7" s="23"/>
      <c r="H7" s="33" t="s">
        <v>286</v>
      </c>
      <c r="I7" s="26" t="s">
        <v>85</v>
      </c>
      <c r="J7" s="26" t="s">
        <v>86</v>
      </c>
      <c r="K7" s="26" t="s">
        <v>86</v>
      </c>
      <c r="L7" s="26" t="s">
        <v>86</v>
      </c>
      <c r="M7" s="26" t="s">
        <v>86</v>
      </c>
      <c r="N7" s="26" t="s">
        <v>86</v>
      </c>
      <c r="O7" s="26" t="s">
        <v>86</v>
      </c>
      <c r="P7" s="26" t="s">
        <v>86</v>
      </c>
      <c r="Q7" s="32">
        <f t="shared" si="0"/>
        <v>20</v>
      </c>
      <c r="R7" s="26" t="s">
        <v>90</v>
      </c>
      <c r="S7" s="4" t="s">
        <v>113</v>
      </c>
      <c r="T7" s="4"/>
      <c r="U7" s="31" t="s">
        <v>321</v>
      </c>
      <c r="AB7" s="94"/>
      <c r="AI7" s="35"/>
    </row>
    <row r="8" spans="1:35" x14ac:dyDescent="0.25">
      <c r="A8" s="23">
        <v>110962</v>
      </c>
      <c r="B8" s="23" t="s">
        <v>552</v>
      </c>
      <c r="C8" s="23" t="s">
        <v>553</v>
      </c>
      <c r="D8" s="23" t="s">
        <v>538</v>
      </c>
      <c r="E8" s="23"/>
      <c r="F8" s="23" t="s">
        <v>539</v>
      </c>
      <c r="G8" s="23"/>
      <c r="H8" s="33" t="s">
        <v>286</v>
      </c>
      <c r="I8" s="26" t="s">
        <v>85</v>
      </c>
      <c r="J8" s="26" t="s">
        <v>86</v>
      </c>
      <c r="K8" s="26" t="s">
        <v>86</v>
      </c>
      <c r="L8" s="26" t="s">
        <v>86</v>
      </c>
      <c r="M8" s="26" t="s">
        <v>16</v>
      </c>
      <c r="N8" s="26" t="s">
        <v>86</v>
      </c>
      <c r="O8" s="26" t="s">
        <v>86</v>
      </c>
      <c r="P8" s="26" t="s">
        <v>86</v>
      </c>
      <c r="Q8" s="32">
        <f t="shared" si="0"/>
        <v>33</v>
      </c>
      <c r="R8" s="26" t="s">
        <v>13</v>
      </c>
      <c r="S8" s="4" t="s">
        <v>113</v>
      </c>
      <c r="T8" s="4"/>
      <c r="U8" s="31"/>
      <c r="AB8" s="94"/>
      <c r="AI8" s="35"/>
    </row>
    <row r="9" spans="1:35" x14ac:dyDescent="0.25">
      <c r="A9" s="28">
        <v>110963</v>
      </c>
      <c r="B9" s="28" t="s">
        <v>557</v>
      </c>
      <c r="C9" s="28" t="s">
        <v>558</v>
      </c>
      <c r="D9" s="28" t="s">
        <v>556</v>
      </c>
      <c r="E9" s="28"/>
      <c r="F9" s="28" t="s">
        <v>556</v>
      </c>
      <c r="G9" s="28"/>
      <c r="H9" s="33" t="s">
        <v>286</v>
      </c>
      <c r="I9" s="31" t="s">
        <v>85</v>
      </c>
      <c r="J9" s="31" t="s">
        <v>16</v>
      </c>
      <c r="K9" s="31" t="s">
        <v>86</v>
      </c>
      <c r="L9" s="31" t="s">
        <v>86</v>
      </c>
      <c r="M9" s="31" t="s">
        <v>86</v>
      </c>
      <c r="N9" s="31" t="s">
        <v>86</v>
      </c>
      <c r="O9" s="31" t="s">
        <v>86</v>
      </c>
      <c r="P9" s="31" t="s">
        <v>86</v>
      </c>
      <c r="Q9" s="32">
        <f t="shared" si="0"/>
        <v>20</v>
      </c>
      <c r="R9" s="31" t="s">
        <v>13</v>
      </c>
      <c r="S9" s="4" t="s">
        <v>113</v>
      </c>
      <c r="T9" s="4"/>
      <c r="U9" s="31" t="s">
        <v>321</v>
      </c>
      <c r="AB9" s="94"/>
      <c r="AI9" s="35"/>
    </row>
    <row r="10" spans="1:35" x14ac:dyDescent="0.25">
      <c r="A10" s="23">
        <v>110973</v>
      </c>
      <c r="B10" s="29" t="s">
        <v>585</v>
      </c>
      <c r="C10" s="29" t="s">
        <v>347</v>
      </c>
      <c r="D10" s="29" t="s">
        <v>570</v>
      </c>
      <c r="E10" s="29"/>
      <c r="F10" s="29" t="s">
        <v>571</v>
      </c>
      <c r="G10" s="29"/>
      <c r="H10" s="33" t="s">
        <v>286</v>
      </c>
      <c r="I10" s="30" t="s">
        <v>85</v>
      </c>
      <c r="J10" s="30" t="s">
        <v>86</v>
      </c>
      <c r="K10" s="30" t="s">
        <v>86</v>
      </c>
      <c r="L10" s="30" t="s">
        <v>86</v>
      </c>
      <c r="M10" s="30" t="s">
        <v>86</v>
      </c>
      <c r="N10" s="30" t="s">
        <v>86</v>
      </c>
      <c r="O10" s="30" t="s">
        <v>86</v>
      </c>
      <c r="P10" s="30" t="s">
        <v>86</v>
      </c>
      <c r="Q10" s="32">
        <f t="shared" si="0"/>
        <v>20</v>
      </c>
      <c r="R10" s="31" t="s">
        <v>90</v>
      </c>
      <c r="S10" s="4" t="s">
        <v>113</v>
      </c>
      <c r="T10" s="4"/>
      <c r="U10" s="31" t="s">
        <v>321</v>
      </c>
      <c r="AB10" s="94"/>
      <c r="AI10" s="35"/>
    </row>
    <row r="11" spans="1:35" x14ac:dyDescent="0.25">
      <c r="A11" s="28">
        <v>110983</v>
      </c>
      <c r="B11" s="28" t="s">
        <v>593</v>
      </c>
      <c r="C11" s="28" t="s">
        <v>256</v>
      </c>
      <c r="D11" s="28" t="s">
        <v>591</v>
      </c>
      <c r="E11" s="28"/>
      <c r="F11" s="28" t="s">
        <v>592</v>
      </c>
      <c r="G11" s="28"/>
      <c r="H11" s="33" t="s">
        <v>286</v>
      </c>
      <c r="I11" s="31" t="s">
        <v>85</v>
      </c>
      <c r="J11" s="31" t="s">
        <v>86</v>
      </c>
      <c r="K11" s="31" t="s">
        <v>86</v>
      </c>
      <c r="L11" s="31" t="s">
        <v>86</v>
      </c>
      <c r="M11" s="31" t="s">
        <v>16</v>
      </c>
      <c r="N11" s="31" t="s">
        <v>86</v>
      </c>
      <c r="O11" s="31" t="s">
        <v>86</v>
      </c>
      <c r="P11" s="31" t="s">
        <v>86</v>
      </c>
      <c r="Q11" s="32">
        <f t="shared" si="0"/>
        <v>33</v>
      </c>
      <c r="R11" s="31" t="s">
        <v>13</v>
      </c>
      <c r="S11" s="4" t="s">
        <v>113</v>
      </c>
      <c r="T11" s="4"/>
      <c r="U11" s="31"/>
      <c r="AB11" s="94"/>
      <c r="AI11" s="35"/>
    </row>
    <row r="12" spans="1:35" x14ac:dyDescent="0.25">
      <c r="A12" s="23">
        <v>110772</v>
      </c>
      <c r="B12" s="24" t="s">
        <v>144</v>
      </c>
      <c r="C12" s="24" t="s">
        <v>141</v>
      </c>
      <c r="D12" s="24" t="s">
        <v>141</v>
      </c>
      <c r="E12" s="24"/>
      <c r="F12" s="24"/>
      <c r="G12" s="24" t="s">
        <v>142</v>
      </c>
      <c r="H12" s="28" t="s">
        <v>143</v>
      </c>
      <c r="I12" s="25" t="s">
        <v>109</v>
      </c>
      <c r="J12" s="25" t="s">
        <v>86</v>
      </c>
      <c r="K12" s="25" t="s">
        <v>86</v>
      </c>
      <c r="L12" s="25" t="s">
        <v>86</v>
      </c>
      <c r="M12" s="66" t="s">
        <v>86</v>
      </c>
      <c r="N12" s="25" t="s">
        <v>86</v>
      </c>
      <c r="O12" s="25" t="s">
        <v>86</v>
      </c>
      <c r="P12" s="25" t="s">
        <v>86</v>
      </c>
      <c r="Q12" s="32">
        <f t="shared" si="0"/>
        <v>20</v>
      </c>
      <c r="R12" s="26" t="s">
        <v>90</v>
      </c>
      <c r="S12" s="4" t="s">
        <v>113</v>
      </c>
      <c r="T12" s="4"/>
      <c r="U12" s="31" t="s">
        <v>321</v>
      </c>
      <c r="AB12" s="35"/>
      <c r="AC12" s="21"/>
      <c r="AD12" s="21"/>
      <c r="AE12" s="21"/>
      <c r="AF12" s="21"/>
      <c r="AG12" s="21"/>
      <c r="AH12" s="21"/>
      <c r="AI12" s="35"/>
    </row>
    <row r="13" spans="1:35" x14ac:dyDescent="0.25">
      <c r="A13" s="28">
        <v>110761</v>
      </c>
      <c r="B13" s="29" t="s">
        <v>125</v>
      </c>
      <c r="C13" s="29" t="s">
        <v>126</v>
      </c>
      <c r="D13" s="29" t="s">
        <v>114</v>
      </c>
      <c r="E13" s="29"/>
      <c r="F13" s="29" t="s">
        <v>114</v>
      </c>
      <c r="G13" s="29"/>
      <c r="H13" s="28" t="s">
        <v>115</v>
      </c>
      <c r="I13" s="30" t="s">
        <v>85</v>
      </c>
      <c r="J13" s="30" t="s">
        <v>16</v>
      </c>
      <c r="K13" s="30" t="s">
        <v>86</v>
      </c>
      <c r="L13" s="30" t="s">
        <v>86</v>
      </c>
      <c r="M13" s="30" t="s">
        <v>86</v>
      </c>
      <c r="N13" s="30" t="s">
        <v>86</v>
      </c>
      <c r="O13" s="30" t="s">
        <v>86</v>
      </c>
      <c r="P13" s="30" t="s">
        <v>86</v>
      </c>
      <c r="Q13" s="32">
        <f t="shared" si="0"/>
        <v>20</v>
      </c>
      <c r="R13" s="31" t="s">
        <v>90</v>
      </c>
      <c r="S13" s="4" t="s">
        <v>113</v>
      </c>
      <c r="T13" s="4"/>
      <c r="U13" s="31" t="s">
        <v>321</v>
      </c>
      <c r="AB13" s="35"/>
      <c r="AC13" s="21"/>
      <c r="AD13" s="22"/>
      <c r="AE13" s="21"/>
      <c r="AF13" s="21"/>
      <c r="AG13" s="21"/>
      <c r="AH13" s="21"/>
      <c r="AI13" s="35"/>
    </row>
    <row r="14" spans="1:35" x14ac:dyDescent="0.25">
      <c r="A14" s="23">
        <v>110764</v>
      </c>
      <c r="B14" s="23" t="s">
        <v>130</v>
      </c>
      <c r="C14" s="23" t="s">
        <v>131</v>
      </c>
      <c r="D14" s="23" t="s">
        <v>120</v>
      </c>
      <c r="E14" s="23"/>
      <c r="F14" s="23" t="s">
        <v>121</v>
      </c>
      <c r="G14" s="23"/>
      <c r="H14" s="28" t="s">
        <v>115</v>
      </c>
      <c r="I14" s="26" t="s">
        <v>85</v>
      </c>
      <c r="J14" s="26" t="s">
        <v>86</v>
      </c>
      <c r="K14" s="26" t="s">
        <v>86</v>
      </c>
      <c r="L14" s="26" t="s">
        <v>86</v>
      </c>
      <c r="M14" s="26" t="s">
        <v>86</v>
      </c>
      <c r="N14" s="26" t="s">
        <v>86</v>
      </c>
      <c r="O14" s="26" t="s">
        <v>86</v>
      </c>
      <c r="P14" s="26" t="s">
        <v>86</v>
      </c>
      <c r="Q14" s="32">
        <f t="shared" si="0"/>
        <v>20</v>
      </c>
      <c r="R14" s="26" t="s">
        <v>13</v>
      </c>
      <c r="S14" s="4" t="s">
        <v>113</v>
      </c>
      <c r="T14" s="4"/>
      <c r="U14" s="31" t="s">
        <v>321</v>
      </c>
      <c r="AB14" s="35"/>
      <c r="AC14" s="21"/>
      <c r="AD14" s="21"/>
      <c r="AE14" s="21"/>
      <c r="AF14" s="21"/>
      <c r="AG14" s="21"/>
      <c r="AH14" s="21"/>
      <c r="AI14" s="35"/>
    </row>
    <row r="15" spans="1:35" x14ac:dyDescent="0.25">
      <c r="A15" s="23">
        <v>110767</v>
      </c>
      <c r="B15" s="24" t="s">
        <v>128</v>
      </c>
      <c r="C15" s="24" t="s">
        <v>129</v>
      </c>
      <c r="D15" s="29" t="s">
        <v>116</v>
      </c>
      <c r="E15" s="29" t="s">
        <v>117</v>
      </c>
      <c r="F15" s="29" t="s">
        <v>118</v>
      </c>
      <c r="G15" s="29" t="s">
        <v>119</v>
      </c>
      <c r="H15" s="28" t="s">
        <v>115</v>
      </c>
      <c r="I15" s="30" t="s">
        <v>85</v>
      </c>
      <c r="J15" s="30" t="s">
        <v>86</v>
      </c>
      <c r="K15" s="30" t="s">
        <v>86</v>
      </c>
      <c r="L15" s="31" t="s">
        <v>86</v>
      </c>
      <c r="M15" s="31" t="s">
        <v>86</v>
      </c>
      <c r="N15" s="31" t="s">
        <v>86</v>
      </c>
      <c r="O15" s="31" t="s">
        <v>86</v>
      </c>
      <c r="P15" s="31" t="s">
        <v>86</v>
      </c>
      <c r="Q15" s="32">
        <f t="shared" si="0"/>
        <v>20</v>
      </c>
      <c r="R15" s="31" t="s">
        <v>13</v>
      </c>
      <c r="S15" s="4" t="s">
        <v>113</v>
      </c>
      <c r="T15" s="4"/>
      <c r="U15" s="31" t="s">
        <v>321</v>
      </c>
      <c r="AB15" s="35"/>
      <c r="AC15" s="21"/>
      <c r="AD15" s="21"/>
      <c r="AE15" s="21"/>
      <c r="AF15" s="21"/>
      <c r="AG15" s="21"/>
      <c r="AH15" s="21"/>
      <c r="AI15" s="35"/>
    </row>
    <row r="16" spans="1:35" x14ac:dyDescent="0.25">
      <c r="A16" s="28">
        <v>110941</v>
      </c>
      <c r="B16" s="28" t="s">
        <v>514</v>
      </c>
      <c r="C16" s="28" t="s">
        <v>331</v>
      </c>
      <c r="D16" s="23" t="s">
        <v>513</v>
      </c>
      <c r="E16" s="23"/>
      <c r="F16" s="23" t="s">
        <v>513</v>
      </c>
      <c r="G16" s="23"/>
      <c r="H16" s="28" t="s">
        <v>115</v>
      </c>
      <c r="I16" s="26" t="s">
        <v>85</v>
      </c>
      <c r="J16" s="26" t="s">
        <v>86</v>
      </c>
      <c r="K16" s="26" t="s">
        <v>86</v>
      </c>
      <c r="L16" s="26" t="s">
        <v>86</v>
      </c>
      <c r="M16" s="26" t="s">
        <v>86</v>
      </c>
      <c r="N16" s="26" t="s">
        <v>86</v>
      </c>
      <c r="O16" s="26" t="s">
        <v>86</v>
      </c>
      <c r="P16" s="26" t="s">
        <v>86</v>
      </c>
      <c r="Q16" s="32">
        <f t="shared" si="0"/>
        <v>20</v>
      </c>
      <c r="R16" s="26" t="s">
        <v>90</v>
      </c>
      <c r="S16" s="4" t="s">
        <v>113</v>
      </c>
      <c r="T16" s="4"/>
      <c r="U16" s="31" t="s">
        <v>321</v>
      </c>
      <c r="AB16" s="94"/>
      <c r="AI16" s="35"/>
    </row>
    <row r="17" spans="1:35" x14ac:dyDescent="0.25">
      <c r="A17" s="28">
        <v>110964</v>
      </c>
      <c r="B17" s="29" t="s">
        <v>579</v>
      </c>
      <c r="C17" s="29" t="s">
        <v>217</v>
      </c>
      <c r="D17" s="29" t="s">
        <v>559</v>
      </c>
      <c r="E17" s="29"/>
      <c r="F17" s="29" t="s">
        <v>560</v>
      </c>
      <c r="G17" s="29"/>
      <c r="H17" s="28" t="s">
        <v>115</v>
      </c>
      <c r="I17" s="30" t="s">
        <v>85</v>
      </c>
      <c r="J17" s="30" t="s">
        <v>86</v>
      </c>
      <c r="K17" s="30" t="s">
        <v>86</v>
      </c>
      <c r="L17" s="30" t="s">
        <v>86</v>
      </c>
      <c r="M17" s="30" t="s">
        <v>86</v>
      </c>
      <c r="N17" s="30" t="s">
        <v>86</v>
      </c>
      <c r="O17" s="30" t="s">
        <v>86</v>
      </c>
      <c r="P17" s="30" t="s">
        <v>86</v>
      </c>
      <c r="Q17" s="32">
        <f t="shared" si="0"/>
        <v>20</v>
      </c>
      <c r="R17" s="31" t="s">
        <v>13</v>
      </c>
      <c r="S17" s="4" t="s">
        <v>113</v>
      </c>
      <c r="T17" s="4"/>
      <c r="U17" s="31"/>
      <c r="AB17" s="94"/>
      <c r="AI17" s="35"/>
    </row>
    <row r="18" spans="1:35" x14ac:dyDescent="0.25">
      <c r="A18" s="28">
        <v>110870</v>
      </c>
      <c r="B18" s="28" t="s">
        <v>356</v>
      </c>
      <c r="C18" s="28" t="s">
        <v>357</v>
      </c>
      <c r="D18" s="28" t="s">
        <v>307</v>
      </c>
      <c r="E18" s="28"/>
      <c r="F18" s="28" t="s">
        <v>308</v>
      </c>
      <c r="G18" s="28"/>
      <c r="H18" s="34" t="s">
        <v>309</v>
      </c>
      <c r="I18" s="31" t="s">
        <v>85</v>
      </c>
      <c r="J18" s="31" t="s">
        <v>16</v>
      </c>
      <c r="K18" s="31" t="s">
        <v>86</v>
      </c>
      <c r="L18" s="31" t="s">
        <v>86</v>
      </c>
      <c r="M18" s="31" t="s">
        <v>86</v>
      </c>
      <c r="N18" s="31" t="s">
        <v>86</v>
      </c>
      <c r="O18" s="31" t="s">
        <v>86</v>
      </c>
      <c r="P18" s="31" t="s">
        <v>86</v>
      </c>
      <c r="Q18" s="32">
        <f t="shared" si="0"/>
        <v>20</v>
      </c>
      <c r="R18" s="31" t="s">
        <v>90</v>
      </c>
      <c r="S18" s="4" t="s">
        <v>113</v>
      </c>
      <c r="T18" s="4"/>
      <c r="U18" s="31" t="s">
        <v>321</v>
      </c>
      <c r="AB18" s="94"/>
    </row>
    <row r="19" spans="1:35" x14ac:dyDescent="0.25">
      <c r="A19" s="23">
        <v>110872</v>
      </c>
      <c r="B19" s="23" t="s">
        <v>358</v>
      </c>
      <c r="C19" s="23" t="s">
        <v>359</v>
      </c>
      <c r="D19" s="23" t="s">
        <v>311</v>
      </c>
      <c r="E19" s="23"/>
      <c r="F19" s="23" t="s">
        <v>312</v>
      </c>
      <c r="G19" s="23"/>
      <c r="H19" s="34" t="s">
        <v>309</v>
      </c>
      <c r="I19" s="26" t="s">
        <v>85</v>
      </c>
      <c r="J19" s="26" t="s">
        <v>16</v>
      </c>
      <c r="K19" s="26" t="s">
        <v>86</v>
      </c>
      <c r="L19" s="26" t="s">
        <v>86</v>
      </c>
      <c r="M19" s="26" t="s">
        <v>86</v>
      </c>
      <c r="N19" s="26" t="s">
        <v>86</v>
      </c>
      <c r="O19" s="26" t="s">
        <v>86</v>
      </c>
      <c r="P19" s="26" t="s">
        <v>86</v>
      </c>
      <c r="Q19" s="32">
        <f t="shared" si="0"/>
        <v>20</v>
      </c>
      <c r="R19" s="26" t="s">
        <v>90</v>
      </c>
      <c r="S19" s="4" t="s">
        <v>113</v>
      </c>
      <c r="T19" s="4"/>
      <c r="U19" s="31" t="s">
        <v>321</v>
      </c>
    </row>
    <row r="20" spans="1:35" x14ac:dyDescent="0.25">
      <c r="A20" s="28">
        <v>110873</v>
      </c>
      <c r="B20" s="63" t="s">
        <v>360</v>
      </c>
      <c r="C20" s="63" t="s">
        <v>361</v>
      </c>
      <c r="D20" s="28" t="s">
        <v>313</v>
      </c>
      <c r="E20" s="28"/>
      <c r="F20" s="28" t="s">
        <v>314</v>
      </c>
      <c r="G20" s="28"/>
      <c r="H20" s="34" t="s">
        <v>309</v>
      </c>
      <c r="I20" s="31" t="s">
        <v>85</v>
      </c>
      <c r="J20" s="31" t="s">
        <v>86</v>
      </c>
      <c r="K20" s="31" t="s">
        <v>86</v>
      </c>
      <c r="L20" s="31" t="s">
        <v>86</v>
      </c>
      <c r="M20" s="31" t="s">
        <v>86</v>
      </c>
      <c r="N20" s="31" t="s">
        <v>86</v>
      </c>
      <c r="O20" s="31" t="s">
        <v>86</v>
      </c>
      <c r="P20" s="31" t="s">
        <v>86</v>
      </c>
      <c r="Q20" s="32">
        <f t="shared" si="0"/>
        <v>20</v>
      </c>
      <c r="R20" s="31" t="s">
        <v>90</v>
      </c>
      <c r="S20" s="4" t="s">
        <v>113</v>
      </c>
      <c r="T20" s="4"/>
      <c r="U20" s="31" t="s">
        <v>321</v>
      </c>
      <c r="AB20" s="94"/>
    </row>
    <row r="21" spans="1:35" x14ac:dyDescent="0.25">
      <c r="A21" s="23">
        <v>110894</v>
      </c>
      <c r="B21" s="23" t="s">
        <v>405</v>
      </c>
      <c r="C21" s="23" t="s">
        <v>406</v>
      </c>
      <c r="D21" s="23" t="s">
        <v>402</v>
      </c>
      <c r="E21" s="23"/>
      <c r="F21" s="23" t="s">
        <v>403</v>
      </c>
      <c r="G21" s="23"/>
      <c r="H21" s="34" t="s">
        <v>309</v>
      </c>
      <c r="I21" s="26" t="s">
        <v>85</v>
      </c>
      <c r="J21" s="26" t="s">
        <v>16</v>
      </c>
      <c r="K21" s="26" t="s">
        <v>86</v>
      </c>
      <c r="L21" s="26" t="s">
        <v>86</v>
      </c>
      <c r="M21" s="26" t="s">
        <v>86</v>
      </c>
      <c r="N21" s="26" t="s">
        <v>86</v>
      </c>
      <c r="O21" s="26" t="s">
        <v>86</v>
      </c>
      <c r="P21" s="26" t="s">
        <v>86</v>
      </c>
      <c r="Q21" s="32">
        <f t="shared" si="0"/>
        <v>20</v>
      </c>
      <c r="R21" s="26" t="s">
        <v>90</v>
      </c>
      <c r="S21" s="4" t="s">
        <v>113</v>
      </c>
      <c r="T21" s="4"/>
      <c r="U21" s="31" t="s">
        <v>321</v>
      </c>
      <c r="AB21" s="94"/>
    </row>
    <row r="22" spans="1:35" x14ac:dyDescent="0.25">
      <c r="A22" s="28">
        <v>111010</v>
      </c>
      <c r="B22" s="28" t="s">
        <v>640</v>
      </c>
      <c r="C22" s="28" t="s">
        <v>541</v>
      </c>
      <c r="D22" s="28" t="s">
        <v>634</v>
      </c>
      <c r="E22" s="28" t="s">
        <v>635</v>
      </c>
      <c r="F22" s="28" t="s">
        <v>636</v>
      </c>
      <c r="G22" s="28"/>
      <c r="H22" s="34" t="s">
        <v>309</v>
      </c>
      <c r="I22" s="31" t="s">
        <v>85</v>
      </c>
      <c r="J22" s="81" t="s">
        <v>16</v>
      </c>
      <c r="K22" s="81" t="s">
        <v>86</v>
      </c>
      <c r="L22" s="81" t="s">
        <v>86</v>
      </c>
      <c r="M22" s="81" t="s">
        <v>86</v>
      </c>
      <c r="N22" s="81" t="s">
        <v>86</v>
      </c>
      <c r="O22" s="81" t="s">
        <v>86</v>
      </c>
      <c r="P22" s="81" t="s">
        <v>86</v>
      </c>
      <c r="Q22" s="32">
        <f t="shared" si="0"/>
        <v>20</v>
      </c>
      <c r="R22" s="31" t="s">
        <v>90</v>
      </c>
      <c r="S22" s="4" t="s">
        <v>113</v>
      </c>
      <c r="T22" s="4"/>
      <c r="U22" s="31" t="s">
        <v>321</v>
      </c>
      <c r="AB22" s="94"/>
    </row>
    <row r="23" spans="1:35" x14ac:dyDescent="0.25">
      <c r="A23" s="23">
        <v>110948</v>
      </c>
      <c r="B23" s="62" t="s">
        <v>543</v>
      </c>
      <c r="C23" s="23" t="s">
        <v>544</v>
      </c>
      <c r="D23" s="23" t="s">
        <v>530</v>
      </c>
      <c r="E23" s="23"/>
      <c r="F23" s="23" t="s">
        <v>531</v>
      </c>
      <c r="G23" s="23"/>
      <c r="H23" s="33" t="s">
        <v>532</v>
      </c>
      <c r="I23" s="26" t="s">
        <v>85</v>
      </c>
      <c r="J23" s="26" t="s">
        <v>86</v>
      </c>
      <c r="K23" s="26" t="s">
        <v>86</v>
      </c>
      <c r="L23" s="26" t="s">
        <v>86</v>
      </c>
      <c r="M23" s="65" t="s">
        <v>86</v>
      </c>
      <c r="N23" s="65" t="s">
        <v>86</v>
      </c>
      <c r="O23" s="65" t="s">
        <v>86</v>
      </c>
      <c r="P23" s="65" t="s">
        <v>86</v>
      </c>
      <c r="Q23" s="32">
        <f t="shared" si="0"/>
        <v>20</v>
      </c>
      <c r="R23" s="26" t="s">
        <v>90</v>
      </c>
      <c r="S23" s="4" t="s">
        <v>113</v>
      </c>
      <c r="T23" s="4"/>
      <c r="U23" s="31"/>
    </row>
    <row r="24" spans="1:35" x14ac:dyDescent="0.25">
      <c r="A24" s="28">
        <v>110961</v>
      </c>
      <c r="B24" s="29" t="s">
        <v>550</v>
      </c>
      <c r="C24" s="29" t="s">
        <v>551</v>
      </c>
      <c r="D24" s="29" t="s">
        <v>537</v>
      </c>
      <c r="E24" s="29"/>
      <c r="F24" s="29" t="s">
        <v>537</v>
      </c>
      <c r="G24" s="29"/>
      <c r="H24" s="33" t="s">
        <v>532</v>
      </c>
      <c r="I24" s="30" t="s">
        <v>85</v>
      </c>
      <c r="J24" s="30" t="s">
        <v>86</v>
      </c>
      <c r="K24" s="30" t="s">
        <v>86</v>
      </c>
      <c r="L24" s="30" t="s">
        <v>86</v>
      </c>
      <c r="M24" s="30" t="s">
        <v>86</v>
      </c>
      <c r="N24" s="30" t="s">
        <v>86</v>
      </c>
      <c r="O24" s="30" t="s">
        <v>86</v>
      </c>
      <c r="P24" s="30" t="s">
        <v>86</v>
      </c>
      <c r="Q24" s="32">
        <f t="shared" si="0"/>
        <v>20</v>
      </c>
      <c r="R24" s="31" t="s">
        <v>90</v>
      </c>
      <c r="S24" s="4" t="s">
        <v>113</v>
      </c>
      <c r="T24" s="4"/>
      <c r="U24" s="31"/>
    </row>
    <row r="25" spans="1:35" x14ac:dyDescent="0.25">
      <c r="A25" s="23">
        <v>110990</v>
      </c>
      <c r="B25" s="24" t="s">
        <v>604</v>
      </c>
      <c r="C25" s="24" t="s">
        <v>363</v>
      </c>
      <c r="D25" s="24" t="s">
        <v>603</v>
      </c>
      <c r="E25" s="24"/>
      <c r="F25" s="24" t="s">
        <v>603</v>
      </c>
      <c r="G25" s="24"/>
      <c r="H25" s="33" t="s">
        <v>532</v>
      </c>
      <c r="I25" s="25" t="s">
        <v>85</v>
      </c>
      <c r="J25" s="25" t="s">
        <v>86</v>
      </c>
      <c r="K25" s="25" t="s">
        <v>86</v>
      </c>
      <c r="L25" s="25" t="s">
        <v>86</v>
      </c>
      <c r="M25" s="25" t="s">
        <v>86</v>
      </c>
      <c r="N25" s="25" t="s">
        <v>86</v>
      </c>
      <c r="O25" s="25" t="s">
        <v>86</v>
      </c>
      <c r="P25" s="25" t="s">
        <v>86</v>
      </c>
      <c r="Q25" s="32">
        <f t="shared" si="0"/>
        <v>20</v>
      </c>
      <c r="R25" s="26" t="s">
        <v>90</v>
      </c>
      <c r="S25" s="4" t="s">
        <v>113</v>
      </c>
      <c r="T25" s="4"/>
      <c r="U25" s="31"/>
    </row>
    <row r="26" spans="1:35" x14ac:dyDescent="0.25">
      <c r="A26" s="28">
        <v>110992</v>
      </c>
      <c r="B26" s="28" t="s">
        <v>617</v>
      </c>
      <c r="C26" s="28" t="s">
        <v>618</v>
      </c>
      <c r="D26" s="28" t="s">
        <v>605</v>
      </c>
      <c r="E26" s="28"/>
      <c r="F26" s="28" t="s">
        <v>606</v>
      </c>
      <c r="G26" s="28"/>
      <c r="H26" s="33" t="s">
        <v>532</v>
      </c>
      <c r="I26" s="31" t="s">
        <v>85</v>
      </c>
      <c r="J26" s="31" t="s">
        <v>86</v>
      </c>
      <c r="K26" s="31" t="s">
        <v>86</v>
      </c>
      <c r="L26" s="31" t="s">
        <v>86</v>
      </c>
      <c r="M26" s="31" t="s">
        <v>86</v>
      </c>
      <c r="N26" s="31" t="s">
        <v>86</v>
      </c>
      <c r="O26" s="31" t="s">
        <v>86</v>
      </c>
      <c r="P26" s="31" t="s">
        <v>86</v>
      </c>
      <c r="Q26" s="32">
        <f t="shared" si="0"/>
        <v>20</v>
      </c>
      <c r="R26" s="31" t="s">
        <v>90</v>
      </c>
      <c r="S26" s="4" t="s">
        <v>113</v>
      </c>
      <c r="T26" s="4"/>
      <c r="U26" s="31"/>
    </row>
    <row r="27" spans="1:35" x14ac:dyDescent="0.25">
      <c r="A27" s="23">
        <v>111001</v>
      </c>
      <c r="B27" s="23" t="s">
        <v>622</v>
      </c>
      <c r="C27" s="23" t="s">
        <v>623</v>
      </c>
      <c r="D27" s="23" t="s">
        <v>612</v>
      </c>
      <c r="E27" s="23"/>
      <c r="F27" s="23" t="s">
        <v>612</v>
      </c>
      <c r="G27" s="23"/>
      <c r="H27" s="33" t="s">
        <v>532</v>
      </c>
      <c r="I27" s="26" t="s">
        <v>85</v>
      </c>
      <c r="J27" s="83" t="s">
        <v>86</v>
      </c>
      <c r="K27" s="83" t="s">
        <v>86</v>
      </c>
      <c r="L27" s="83" t="s">
        <v>86</v>
      </c>
      <c r="M27" s="83" t="s">
        <v>86</v>
      </c>
      <c r="N27" s="83" t="s">
        <v>86</v>
      </c>
      <c r="O27" s="83" t="s">
        <v>86</v>
      </c>
      <c r="P27" s="83" t="s">
        <v>86</v>
      </c>
      <c r="Q27" s="32">
        <f t="shared" si="0"/>
        <v>20</v>
      </c>
      <c r="R27" s="26" t="s">
        <v>90</v>
      </c>
      <c r="S27" s="4" t="s">
        <v>113</v>
      </c>
      <c r="T27" s="4"/>
      <c r="U27" s="31"/>
    </row>
    <row r="28" spans="1:35" x14ac:dyDescent="0.25">
      <c r="A28" s="28">
        <v>110741</v>
      </c>
      <c r="B28" s="28" t="s">
        <v>91</v>
      </c>
      <c r="C28" s="28" t="s">
        <v>92</v>
      </c>
      <c r="D28" s="28" t="s">
        <v>69</v>
      </c>
      <c r="E28" s="28"/>
      <c r="F28" s="28" t="s">
        <v>69</v>
      </c>
      <c r="G28" s="28"/>
      <c r="H28" s="34" t="s">
        <v>89</v>
      </c>
      <c r="I28" s="31" t="s">
        <v>85</v>
      </c>
      <c r="J28" s="31" t="s">
        <v>86</v>
      </c>
      <c r="K28" s="31" t="s">
        <v>16</v>
      </c>
      <c r="L28" s="31" t="s">
        <v>86</v>
      </c>
      <c r="M28" s="31" t="s">
        <v>86</v>
      </c>
      <c r="N28" s="31" t="s">
        <v>16</v>
      </c>
      <c r="O28" s="31" t="s">
        <v>86</v>
      </c>
      <c r="P28" s="31" t="s">
        <v>86</v>
      </c>
      <c r="Q28" s="32">
        <f t="shared" si="0"/>
        <v>46</v>
      </c>
      <c r="R28" s="31" t="s">
        <v>90</v>
      </c>
      <c r="S28" s="4" t="s">
        <v>113</v>
      </c>
      <c r="T28" s="4"/>
      <c r="U28" s="31" t="s">
        <v>321</v>
      </c>
      <c r="AB28" s="35"/>
      <c r="AC28" s="21"/>
      <c r="AD28" s="21"/>
      <c r="AE28" s="21"/>
      <c r="AF28" s="21"/>
      <c r="AG28" s="21"/>
      <c r="AH28" s="21"/>
    </row>
    <row r="29" spans="1:35" x14ac:dyDescent="0.25">
      <c r="A29" s="23">
        <v>110775</v>
      </c>
      <c r="B29" s="24" t="s">
        <v>192</v>
      </c>
      <c r="C29" s="24" t="s">
        <v>193</v>
      </c>
      <c r="D29" s="24" t="s">
        <v>145</v>
      </c>
      <c r="E29" s="24" t="s">
        <v>146</v>
      </c>
      <c r="F29" s="24" t="s">
        <v>147</v>
      </c>
      <c r="G29" s="24" t="s">
        <v>148</v>
      </c>
      <c r="H29" s="34" t="s">
        <v>89</v>
      </c>
      <c r="I29" s="25" t="s">
        <v>85</v>
      </c>
      <c r="J29" s="25" t="s">
        <v>86</v>
      </c>
      <c r="K29" s="25" t="s">
        <v>86</v>
      </c>
      <c r="L29" s="25" t="s">
        <v>86</v>
      </c>
      <c r="M29" s="25" t="s">
        <v>16</v>
      </c>
      <c r="N29" s="25" t="s">
        <v>16</v>
      </c>
      <c r="O29" s="25" t="s">
        <v>86</v>
      </c>
      <c r="P29" s="25" t="s">
        <v>86</v>
      </c>
      <c r="Q29" s="32">
        <f t="shared" si="0"/>
        <v>46</v>
      </c>
      <c r="R29" s="26" t="s">
        <v>90</v>
      </c>
      <c r="S29" s="4" t="s">
        <v>113</v>
      </c>
      <c r="T29" s="4"/>
      <c r="U29" s="31" t="s">
        <v>321</v>
      </c>
      <c r="AB29" s="35"/>
      <c r="AC29" s="21"/>
      <c r="AD29" s="21"/>
      <c r="AE29" s="21"/>
      <c r="AF29" s="21"/>
      <c r="AG29" s="21"/>
      <c r="AH29" s="21"/>
    </row>
    <row r="30" spans="1:35" x14ac:dyDescent="0.25">
      <c r="A30" s="28">
        <v>110781</v>
      </c>
      <c r="B30" s="29" t="s">
        <v>196</v>
      </c>
      <c r="C30" s="29" t="s">
        <v>126</v>
      </c>
      <c r="D30" s="29" t="s">
        <v>155</v>
      </c>
      <c r="E30" s="29"/>
      <c r="F30" s="29" t="s">
        <v>156</v>
      </c>
      <c r="G30" s="29"/>
      <c r="H30" s="34" t="s">
        <v>89</v>
      </c>
      <c r="I30" s="30" t="s">
        <v>85</v>
      </c>
      <c r="J30" s="30" t="s">
        <v>86</v>
      </c>
      <c r="K30" s="30" t="s">
        <v>16</v>
      </c>
      <c r="L30" s="30" t="s">
        <v>86</v>
      </c>
      <c r="M30" s="30" t="s">
        <v>16</v>
      </c>
      <c r="N30" s="30" t="s">
        <v>16</v>
      </c>
      <c r="O30" s="30" t="s">
        <v>86</v>
      </c>
      <c r="P30" s="30" t="s">
        <v>86</v>
      </c>
      <c r="Q30" s="32">
        <f t="shared" si="0"/>
        <v>59</v>
      </c>
      <c r="R30" s="31" t="s">
        <v>90</v>
      </c>
      <c r="S30" s="4" t="s">
        <v>113</v>
      </c>
      <c r="T30" s="4"/>
      <c r="U30" s="31" t="s">
        <v>321</v>
      </c>
      <c r="AB30" s="35"/>
      <c r="AC30" s="21"/>
      <c r="AD30" s="21"/>
      <c r="AE30" s="21"/>
      <c r="AF30" s="21"/>
      <c r="AG30" s="21"/>
      <c r="AH30" s="21"/>
    </row>
    <row r="31" spans="1:35" x14ac:dyDescent="0.25">
      <c r="A31" s="28">
        <v>110785</v>
      </c>
      <c r="B31" s="28" t="s">
        <v>91</v>
      </c>
      <c r="C31" s="28" t="s">
        <v>199</v>
      </c>
      <c r="D31" s="28" t="s">
        <v>159</v>
      </c>
      <c r="E31" s="28"/>
      <c r="F31" s="28" t="s">
        <v>160</v>
      </c>
      <c r="G31" s="28"/>
      <c r="H31" s="34" t="s">
        <v>89</v>
      </c>
      <c r="I31" s="31" t="s">
        <v>85</v>
      </c>
      <c r="J31" s="31" t="s">
        <v>86</v>
      </c>
      <c r="K31" s="31" t="s">
        <v>86</v>
      </c>
      <c r="L31" s="31" t="s">
        <v>16</v>
      </c>
      <c r="M31" s="31" t="s">
        <v>86</v>
      </c>
      <c r="N31" s="31" t="s">
        <v>86</v>
      </c>
      <c r="O31" s="31" t="s">
        <v>16</v>
      </c>
      <c r="P31" s="31" t="s">
        <v>86</v>
      </c>
      <c r="Q31" s="32">
        <f t="shared" si="0"/>
        <v>30</v>
      </c>
      <c r="R31" s="31" t="s">
        <v>90</v>
      </c>
      <c r="S31" s="4" t="s">
        <v>113</v>
      </c>
      <c r="T31" s="4"/>
      <c r="U31" s="31" t="s">
        <v>321</v>
      </c>
    </row>
    <row r="32" spans="1:35" x14ac:dyDescent="0.25">
      <c r="A32" s="23">
        <v>110897</v>
      </c>
      <c r="B32" s="24" t="s">
        <v>407</v>
      </c>
      <c r="C32" s="24" t="s">
        <v>408</v>
      </c>
      <c r="D32" s="24" t="s">
        <v>404</v>
      </c>
      <c r="E32" s="24"/>
      <c r="F32" s="24" t="s">
        <v>404</v>
      </c>
      <c r="G32" s="24"/>
      <c r="H32" s="34" t="s">
        <v>89</v>
      </c>
      <c r="I32" s="25" t="s">
        <v>85</v>
      </c>
      <c r="J32" s="25" t="s">
        <v>86</v>
      </c>
      <c r="K32" s="25" t="s">
        <v>86</v>
      </c>
      <c r="L32" s="25" t="s">
        <v>86</v>
      </c>
      <c r="M32" s="25" t="s">
        <v>86</v>
      </c>
      <c r="N32" s="25" t="s">
        <v>16</v>
      </c>
      <c r="O32" s="25" t="s">
        <v>86</v>
      </c>
      <c r="P32" s="25" t="s">
        <v>16</v>
      </c>
      <c r="Q32" s="32">
        <f t="shared" si="0"/>
        <v>46</v>
      </c>
      <c r="R32" s="26" t="s">
        <v>90</v>
      </c>
      <c r="S32" s="4" t="s">
        <v>113</v>
      </c>
      <c r="T32" s="4"/>
      <c r="U32" s="31" t="s">
        <v>321</v>
      </c>
    </row>
    <row r="33" spans="1:34" x14ac:dyDescent="0.25">
      <c r="A33" s="28">
        <v>110812</v>
      </c>
      <c r="B33" s="28" t="s">
        <v>236</v>
      </c>
      <c r="C33" s="28" t="s">
        <v>237</v>
      </c>
      <c r="D33" s="28" t="s">
        <v>233</v>
      </c>
      <c r="E33" s="28"/>
      <c r="F33" s="28" t="s">
        <v>234</v>
      </c>
      <c r="G33" s="28"/>
      <c r="H33" s="34" t="s">
        <v>235</v>
      </c>
      <c r="I33" s="31" t="s">
        <v>85</v>
      </c>
      <c r="J33" s="31" t="s">
        <v>86</v>
      </c>
      <c r="K33" s="31" t="s">
        <v>86</v>
      </c>
      <c r="L33" s="31" t="s">
        <v>86</v>
      </c>
      <c r="M33" s="31" t="s">
        <v>86</v>
      </c>
      <c r="N33" s="31" t="s">
        <v>86</v>
      </c>
      <c r="O33" s="31" t="s">
        <v>86</v>
      </c>
      <c r="P33" s="31" t="s">
        <v>86</v>
      </c>
      <c r="Q33" s="32">
        <f t="shared" si="0"/>
        <v>20</v>
      </c>
      <c r="R33" s="31" t="s">
        <v>13</v>
      </c>
      <c r="S33" s="4" t="s">
        <v>113</v>
      </c>
      <c r="T33" s="4"/>
      <c r="U33" s="31" t="s">
        <v>321</v>
      </c>
    </row>
    <row r="34" spans="1:34" x14ac:dyDescent="0.25">
      <c r="A34" s="23">
        <v>110816</v>
      </c>
      <c r="B34" s="23" t="s">
        <v>253</v>
      </c>
      <c r="C34" s="23" t="s">
        <v>254</v>
      </c>
      <c r="D34" s="23" t="s">
        <v>245</v>
      </c>
      <c r="E34" s="23"/>
      <c r="F34" s="23" t="s">
        <v>246</v>
      </c>
      <c r="G34" s="23"/>
      <c r="H34" s="34" t="s">
        <v>235</v>
      </c>
      <c r="I34" s="26" t="s">
        <v>85</v>
      </c>
      <c r="J34" s="26" t="s">
        <v>86</v>
      </c>
      <c r="K34" s="26" t="s">
        <v>86</v>
      </c>
      <c r="L34" s="26" t="s">
        <v>86</v>
      </c>
      <c r="M34" s="26" t="s">
        <v>16</v>
      </c>
      <c r="N34" s="26" t="s">
        <v>86</v>
      </c>
      <c r="O34" s="26" t="s">
        <v>86</v>
      </c>
      <c r="P34" s="26" t="s">
        <v>86</v>
      </c>
      <c r="Q34" s="32">
        <f t="shared" ref="Q34:Q65" si="1">IF(R34="Coupon",0,(20+IF(K34="X",13,0)+IF(L34="X",5,0)+IF(M34="X",13,0)+IF(N34="X",13,0)+IF(O34="X",5,0)+IF(P34="X",13,0)-IF(T34="x",15,0)))</f>
        <v>33</v>
      </c>
      <c r="R34" s="26" t="s">
        <v>90</v>
      </c>
      <c r="S34" s="4" t="s">
        <v>113</v>
      </c>
      <c r="T34" s="4"/>
      <c r="U34" s="31"/>
    </row>
    <row r="35" spans="1:34" x14ac:dyDescent="0.25">
      <c r="A35" s="28">
        <v>110819</v>
      </c>
      <c r="B35" s="28" t="s">
        <v>236</v>
      </c>
      <c r="C35" s="28" t="s">
        <v>237</v>
      </c>
      <c r="D35" s="28" t="s">
        <v>247</v>
      </c>
      <c r="E35" s="28"/>
      <c r="F35" s="28" t="s">
        <v>248</v>
      </c>
      <c r="G35" s="28"/>
      <c r="H35" s="34" t="s">
        <v>235</v>
      </c>
      <c r="I35" s="31" t="s">
        <v>85</v>
      </c>
      <c r="J35" s="31" t="s">
        <v>16</v>
      </c>
      <c r="K35" s="31" t="s">
        <v>86</v>
      </c>
      <c r="L35" s="31" t="s">
        <v>86</v>
      </c>
      <c r="M35" s="31" t="s">
        <v>86</v>
      </c>
      <c r="N35" s="31" t="s">
        <v>86</v>
      </c>
      <c r="O35" s="31" t="s">
        <v>86</v>
      </c>
      <c r="P35" s="31" t="s">
        <v>86</v>
      </c>
      <c r="Q35" s="32">
        <f t="shared" si="1"/>
        <v>20</v>
      </c>
      <c r="R35" s="31" t="s">
        <v>13</v>
      </c>
      <c r="S35" s="4" t="s">
        <v>113</v>
      </c>
      <c r="T35" s="4"/>
      <c r="U35" s="31" t="s">
        <v>321</v>
      </c>
    </row>
    <row r="36" spans="1:34" x14ac:dyDescent="0.25">
      <c r="A36" s="23">
        <v>110906</v>
      </c>
      <c r="B36" s="24" t="s">
        <v>236</v>
      </c>
      <c r="C36" s="24" t="s">
        <v>237</v>
      </c>
      <c r="D36" s="24" t="s">
        <v>437</v>
      </c>
      <c r="E36" s="24"/>
      <c r="F36" s="24" t="s">
        <v>438</v>
      </c>
      <c r="G36" s="24"/>
      <c r="H36" s="34" t="s">
        <v>235</v>
      </c>
      <c r="I36" s="25" t="s">
        <v>85</v>
      </c>
      <c r="J36" s="25" t="s">
        <v>86</v>
      </c>
      <c r="K36" s="25" t="s">
        <v>86</v>
      </c>
      <c r="L36" s="25" t="s">
        <v>86</v>
      </c>
      <c r="M36" s="25" t="s">
        <v>86</v>
      </c>
      <c r="N36" s="25" t="s">
        <v>86</v>
      </c>
      <c r="O36" s="25" t="s">
        <v>86</v>
      </c>
      <c r="P36" s="25" t="s">
        <v>86</v>
      </c>
      <c r="Q36" s="32">
        <f t="shared" si="1"/>
        <v>20</v>
      </c>
      <c r="R36" s="26" t="s">
        <v>90</v>
      </c>
      <c r="S36" s="4" t="s">
        <v>113</v>
      </c>
      <c r="T36" s="4"/>
      <c r="U36" s="31"/>
    </row>
    <row r="37" spans="1:34" x14ac:dyDescent="0.25">
      <c r="A37" s="23">
        <v>111053</v>
      </c>
      <c r="B37" s="23" t="s">
        <v>760</v>
      </c>
      <c r="C37" s="23" t="s">
        <v>651</v>
      </c>
      <c r="D37" s="23" t="s">
        <v>644</v>
      </c>
      <c r="E37" s="23"/>
      <c r="F37" s="23" t="s">
        <v>645</v>
      </c>
      <c r="G37" s="23"/>
      <c r="H37" s="34" t="s">
        <v>235</v>
      </c>
      <c r="I37" s="26" t="s">
        <v>85</v>
      </c>
      <c r="J37" s="83" t="s">
        <v>86</v>
      </c>
      <c r="K37" s="83" t="s">
        <v>86</v>
      </c>
      <c r="L37" s="83" t="s">
        <v>86</v>
      </c>
      <c r="M37" s="83" t="s">
        <v>86</v>
      </c>
      <c r="N37" s="83" t="s">
        <v>86</v>
      </c>
      <c r="O37" s="83" t="s">
        <v>86</v>
      </c>
      <c r="P37" s="83" t="s">
        <v>86</v>
      </c>
      <c r="Q37" s="32">
        <f t="shared" si="1"/>
        <v>20</v>
      </c>
      <c r="R37" s="26" t="s">
        <v>90</v>
      </c>
      <c r="S37" s="4" t="s">
        <v>113</v>
      </c>
      <c r="T37" s="4"/>
      <c r="U37" s="31" t="s">
        <v>321</v>
      </c>
    </row>
    <row r="38" spans="1:34" x14ac:dyDescent="0.25">
      <c r="A38" s="23">
        <v>111062</v>
      </c>
      <c r="B38" s="23" t="s">
        <v>431</v>
      </c>
      <c r="C38" s="23" t="s">
        <v>412</v>
      </c>
      <c r="D38" s="23" t="s">
        <v>429</v>
      </c>
      <c r="E38" s="23"/>
      <c r="F38" s="23" t="s">
        <v>430</v>
      </c>
      <c r="G38" s="23"/>
      <c r="H38" s="33" t="s">
        <v>235</v>
      </c>
      <c r="I38" s="26" t="s">
        <v>85</v>
      </c>
      <c r="J38" s="83" t="s">
        <v>86</v>
      </c>
      <c r="K38" s="83" t="s">
        <v>86</v>
      </c>
      <c r="L38" s="83" t="s">
        <v>86</v>
      </c>
      <c r="M38" s="83" t="s">
        <v>86</v>
      </c>
      <c r="N38" s="83" t="s">
        <v>86</v>
      </c>
      <c r="O38" s="83" t="s">
        <v>86</v>
      </c>
      <c r="P38" s="83" t="s">
        <v>86</v>
      </c>
      <c r="Q38" s="32">
        <f t="shared" si="1"/>
        <v>20</v>
      </c>
      <c r="R38" s="26" t="s">
        <v>13</v>
      </c>
      <c r="S38" s="4" t="s">
        <v>113</v>
      </c>
      <c r="T38" s="4"/>
      <c r="U38" s="31" t="s">
        <v>321</v>
      </c>
      <c r="AB38" s="94"/>
    </row>
    <row r="39" spans="1:34" x14ac:dyDescent="0.25">
      <c r="A39" s="23">
        <v>110771</v>
      </c>
      <c r="B39" s="23" t="s">
        <v>132</v>
      </c>
      <c r="C39" s="23" t="s">
        <v>133</v>
      </c>
      <c r="D39" s="23" t="s">
        <v>122</v>
      </c>
      <c r="E39" s="23"/>
      <c r="F39" s="23"/>
      <c r="G39" s="23" t="s">
        <v>123</v>
      </c>
      <c r="H39" s="33" t="s">
        <v>124</v>
      </c>
      <c r="I39" s="26" t="s">
        <v>109</v>
      </c>
      <c r="J39" s="26" t="s">
        <v>86</v>
      </c>
      <c r="K39" s="26" t="s">
        <v>86</v>
      </c>
      <c r="L39" s="26" t="s">
        <v>86</v>
      </c>
      <c r="M39" s="26" t="s">
        <v>86</v>
      </c>
      <c r="N39" s="26" t="s">
        <v>86</v>
      </c>
      <c r="O39" s="26" t="s">
        <v>86</v>
      </c>
      <c r="P39" s="26" t="s">
        <v>86</v>
      </c>
      <c r="Q39" s="32">
        <f t="shared" si="1"/>
        <v>20</v>
      </c>
      <c r="R39" s="26" t="s">
        <v>90</v>
      </c>
      <c r="S39" s="4" t="s">
        <v>87</v>
      </c>
      <c r="T39" s="4"/>
      <c r="U39" s="31"/>
      <c r="AB39" s="35"/>
      <c r="AC39" s="21"/>
      <c r="AD39" s="21"/>
      <c r="AE39" s="21"/>
      <c r="AF39" s="21"/>
      <c r="AG39" s="21"/>
      <c r="AH39" s="21"/>
    </row>
    <row r="40" spans="1:34" x14ac:dyDescent="0.25">
      <c r="A40" s="23">
        <v>110875</v>
      </c>
      <c r="B40" s="23" t="s">
        <v>362</v>
      </c>
      <c r="C40" s="23" t="s">
        <v>363</v>
      </c>
      <c r="D40" s="23" t="s">
        <v>317</v>
      </c>
      <c r="E40" s="23"/>
      <c r="F40" s="143"/>
      <c r="G40" s="23" t="s">
        <v>318</v>
      </c>
      <c r="H40" s="33" t="s">
        <v>124</v>
      </c>
      <c r="I40" s="26" t="s">
        <v>109</v>
      </c>
      <c r="J40" s="26" t="s">
        <v>86</v>
      </c>
      <c r="K40" s="26" t="s">
        <v>16</v>
      </c>
      <c r="L40" s="26" t="s">
        <v>86</v>
      </c>
      <c r="M40" s="26" t="s">
        <v>86</v>
      </c>
      <c r="N40" s="26" t="s">
        <v>16</v>
      </c>
      <c r="O40" s="26" t="s">
        <v>86</v>
      </c>
      <c r="P40" s="26" t="s">
        <v>86</v>
      </c>
      <c r="Q40" s="32">
        <f t="shared" si="1"/>
        <v>46</v>
      </c>
      <c r="R40" s="26" t="s">
        <v>90</v>
      </c>
      <c r="S40" s="4" t="s">
        <v>113</v>
      </c>
      <c r="T40" s="4"/>
      <c r="U40" s="31" t="s">
        <v>321</v>
      </c>
      <c r="AB40" s="35"/>
      <c r="AC40" s="21"/>
      <c r="AD40" s="21"/>
      <c r="AE40" s="21"/>
      <c r="AF40" s="21"/>
      <c r="AG40" s="21"/>
      <c r="AH40" s="21"/>
    </row>
    <row r="41" spans="1:34" x14ac:dyDescent="0.25">
      <c r="A41" s="23">
        <v>111035</v>
      </c>
      <c r="B41" s="23" t="s">
        <v>332</v>
      </c>
      <c r="C41" s="23" t="s">
        <v>681</v>
      </c>
      <c r="D41" s="23" t="s">
        <v>677</v>
      </c>
      <c r="E41" s="23" t="s">
        <v>677</v>
      </c>
      <c r="F41" s="23"/>
      <c r="G41" s="23" t="s">
        <v>678</v>
      </c>
      <c r="H41" s="33" t="s">
        <v>124</v>
      </c>
      <c r="I41" s="26" t="s">
        <v>86</v>
      </c>
      <c r="J41" s="83" t="s">
        <v>86</v>
      </c>
      <c r="K41" s="83" t="s">
        <v>86</v>
      </c>
      <c r="L41" s="83" t="s">
        <v>86</v>
      </c>
      <c r="M41" s="83" t="s">
        <v>86</v>
      </c>
      <c r="N41" s="83" t="s">
        <v>86</v>
      </c>
      <c r="O41" s="83" t="s">
        <v>86</v>
      </c>
      <c r="P41" s="83" t="s">
        <v>86</v>
      </c>
      <c r="Q41" s="32">
        <f t="shared" si="1"/>
        <v>20</v>
      </c>
      <c r="R41" s="26" t="s">
        <v>13</v>
      </c>
      <c r="S41" s="4" t="s">
        <v>113</v>
      </c>
      <c r="T41" s="4"/>
      <c r="U41" s="31" t="s">
        <v>321</v>
      </c>
      <c r="AB41" s="94"/>
    </row>
    <row r="42" spans="1:34" x14ac:dyDescent="0.25">
      <c r="A42" s="23">
        <v>110782</v>
      </c>
      <c r="B42" s="23" t="s">
        <v>197</v>
      </c>
      <c r="C42" s="23" t="s">
        <v>198</v>
      </c>
      <c r="D42" s="23" t="s">
        <v>157</v>
      </c>
      <c r="E42" s="23"/>
      <c r="F42" s="23" t="s">
        <v>158</v>
      </c>
      <c r="G42" s="23"/>
      <c r="H42" s="33" t="s">
        <v>302</v>
      </c>
      <c r="I42" s="26" t="s">
        <v>85</v>
      </c>
      <c r="J42" s="83" t="s">
        <v>86</v>
      </c>
      <c r="K42" s="83" t="s">
        <v>86</v>
      </c>
      <c r="L42" s="83" t="s">
        <v>86</v>
      </c>
      <c r="M42" s="83" t="s">
        <v>86</v>
      </c>
      <c r="N42" s="83" t="s">
        <v>86</v>
      </c>
      <c r="O42" s="83" t="s">
        <v>86</v>
      </c>
      <c r="P42" s="83" t="s">
        <v>86</v>
      </c>
      <c r="Q42" s="32">
        <f t="shared" si="1"/>
        <v>20</v>
      </c>
      <c r="R42" s="26" t="s">
        <v>90</v>
      </c>
      <c r="S42" s="4" t="s">
        <v>113</v>
      </c>
      <c r="T42" s="4"/>
      <c r="U42" s="31" t="s">
        <v>321</v>
      </c>
      <c r="AB42" s="35"/>
      <c r="AC42" s="21"/>
      <c r="AD42" s="21"/>
      <c r="AE42" s="21"/>
      <c r="AF42" s="21"/>
      <c r="AG42" s="21"/>
      <c r="AH42" s="21"/>
    </row>
    <row r="43" spans="1:34" x14ac:dyDescent="0.25">
      <c r="A43" s="23">
        <v>110865</v>
      </c>
      <c r="B43" s="24" t="s">
        <v>350</v>
      </c>
      <c r="C43" s="24" t="s">
        <v>351</v>
      </c>
      <c r="D43" s="24" t="s">
        <v>298</v>
      </c>
      <c r="E43" s="24" t="s">
        <v>299</v>
      </c>
      <c r="F43" s="24" t="s">
        <v>300</v>
      </c>
      <c r="G43" s="24" t="s">
        <v>301</v>
      </c>
      <c r="H43" s="33" t="s">
        <v>302</v>
      </c>
      <c r="I43" s="25" t="s">
        <v>85</v>
      </c>
      <c r="J43" s="82" t="s">
        <v>16</v>
      </c>
      <c r="K43" s="82" t="s">
        <v>86</v>
      </c>
      <c r="L43" s="82" t="s">
        <v>16</v>
      </c>
      <c r="M43" s="82" t="s">
        <v>16</v>
      </c>
      <c r="N43" s="82" t="s">
        <v>86</v>
      </c>
      <c r="O43" s="82" t="s">
        <v>16</v>
      </c>
      <c r="P43" s="82" t="s">
        <v>86</v>
      </c>
      <c r="Q43" s="32">
        <f t="shared" si="1"/>
        <v>43</v>
      </c>
      <c r="R43" s="26" t="s">
        <v>13</v>
      </c>
      <c r="S43" s="4" t="s">
        <v>113</v>
      </c>
      <c r="T43" s="4"/>
      <c r="U43" s="31" t="s">
        <v>321</v>
      </c>
      <c r="AB43" s="94"/>
    </row>
    <row r="44" spans="1:34" x14ac:dyDescent="0.25">
      <c r="A44" s="23">
        <v>110866</v>
      </c>
      <c r="B44" s="24" t="s">
        <v>372</v>
      </c>
      <c r="C44" s="24" t="s">
        <v>373</v>
      </c>
      <c r="D44" s="24" t="s">
        <v>326</v>
      </c>
      <c r="E44" s="24"/>
      <c r="F44" s="24" t="s">
        <v>327</v>
      </c>
      <c r="G44" s="24"/>
      <c r="H44" s="33" t="s">
        <v>302</v>
      </c>
      <c r="I44" s="25" t="s">
        <v>85</v>
      </c>
      <c r="J44" s="25" t="s">
        <v>86</v>
      </c>
      <c r="K44" s="25" t="s">
        <v>86</v>
      </c>
      <c r="L44" s="25" t="s">
        <v>16</v>
      </c>
      <c r="M44" s="25" t="s">
        <v>16</v>
      </c>
      <c r="N44" s="25" t="s">
        <v>86</v>
      </c>
      <c r="O44" s="25" t="s">
        <v>16</v>
      </c>
      <c r="P44" s="25" t="s">
        <v>86</v>
      </c>
      <c r="Q44" s="32">
        <f t="shared" si="1"/>
        <v>43</v>
      </c>
      <c r="R44" s="26" t="s">
        <v>13</v>
      </c>
      <c r="S44" s="4" t="s">
        <v>113</v>
      </c>
      <c r="T44" s="4"/>
      <c r="U44" s="31"/>
    </row>
    <row r="45" spans="1:34" x14ac:dyDescent="0.25">
      <c r="A45" s="28">
        <v>110868</v>
      </c>
      <c r="B45" s="23" t="s">
        <v>352</v>
      </c>
      <c r="C45" s="23" t="s">
        <v>353</v>
      </c>
      <c r="D45" s="28" t="s">
        <v>303</v>
      </c>
      <c r="E45" s="28"/>
      <c r="F45" s="28" t="s">
        <v>304</v>
      </c>
      <c r="G45" s="28"/>
      <c r="H45" s="33" t="s">
        <v>302</v>
      </c>
      <c r="I45" s="31" t="s">
        <v>85</v>
      </c>
      <c r="J45" s="81" t="s">
        <v>86</v>
      </c>
      <c r="K45" s="81" t="s">
        <v>86</v>
      </c>
      <c r="L45" s="81" t="s">
        <v>86</v>
      </c>
      <c r="M45" s="81" t="s">
        <v>86</v>
      </c>
      <c r="N45" s="81" t="s">
        <v>86</v>
      </c>
      <c r="O45" s="81" t="s">
        <v>86</v>
      </c>
      <c r="P45" s="81" t="s">
        <v>86</v>
      </c>
      <c r="Q45" s="32">
        <f t="shared" si="1"/>
        <v>20</v>
      </c>
      <c r="R45" s="31" t="s">
        <v>13</v>
      </c>
      <c r="S45" s="4" t="s">
        <v>113</v>
      </c>
      <c r="T45" s="4"/>
      <c r="U45" s="31" t="s">
        <v>321</v>
      </c>
    </row>
    <row r="46" spans="1:34" x14ac:dyDescent="0.25">
      <c r="A46" s="23">
        <v>110869</v>
      </c>
      <c r="B46" s="24" t="s">
        <v>354</v>
      </c>
      <c r="C46" s="24" t="s">
        <v>355</v>
      </c>
      <c r="D46" s="24" t="s">
        <v>305</v>
      </c>
      <c r="E46" s="24"/>
      <c r="F46" s="24" t="s">
        <v>306</v>
      </c>
      <c r="G46" s="24"/>
      <c r="H46" s="33" t="s">
        <v>302</v>
      </c>
      <c r="I46" s="25" t="s">
        <v>85</v>
      </c>
      <c r="J46" s="82" t="s">
        <v>86</v>
      </c>
      <c r="K46" s="82" t="s">
        <v>86</v>
      </c>
      <c r="L46" s="82" t="s">
        <v>86</v>
      </c>
      <c r="M46" s="82" t="s">
        <v>86</v>
      </c>
      <c r="N46" s="82" t="s">
        <v>86</v>
      </c>
      <c r="O46" s="82" t="s">
        <v>86</v>
      </c>
      <c r="P46" s="82" t="s">
        <v>86</v>
      </c>
      <c r="Q46" s="32">
        <f t="shared" si="1"/>
        <v>20</v>
      </c>
      <c r="R46" s="26" t="s">
        <v>13</v>
      </c>
      <c r="S46" s="4" t="s">
        <v>113</v>
      </c>
      <c r="T46" s="4"/>
      <c r="U46" s="31" t="s">
        <v>321</v>
      </c>
    </row>
    <row r="47" spans="1:34" x14ac:dyDescent="0.25">
      <c r="A47" s="28">
        <v>111047</v>
      </c>
      <c r="B47" s="28" t="s">
        <v>732</v>
      </c>
      <c r="C47" s="28" t="s">
        <v>733</v>
      </c>
      <c r="D47" s="28" t="s">
        <v>714</v>
      </c>
      <c r="E47" s="28"/>
      <c r="F47" s="28" t="s">
        <v>714</v>
      </c>
      <c r="G47" s="28"/>
      <c r="H47" s="34" t="s">
        <v>302</v>
      </c>
      <c r="I47" s="31" t="s">
        <v>85</v>
      </c>
      <c r="J47" s="81" t="s">
        <v>86</v>
      </c>
      <c r="K47" s="81" t="s">
        <v>86</v>
      </c>
      <c r="L47" s="81" t="s">
        <v>86</v>
      </c>
      <c r="M47" s="81" t="s">
        <v>86</v>
      </c>
      <c r="N47" s="81" t="s">
        <v>86</v>
      </c>
      <c r="O47" s="81" t="s">
        <v>86</v>
      </c>
      <c r="P47" s="81" t="s">
        <v>86</v>
      </c>
      <c r="Q47" s="32">
        <f t="shared" si="1"/>
        <v>20</v>
      </c>
      <c r="R47" s="26" t="s">
        <v>13</v>
      </c>
      <c r="S47" s="4" t="s">
        <v>113</v>
      </c>
      <c r="T47" s="4"/>
      <c r="U47" s="31" t="s">
        <v>321</v>
      </c>
    </row>
    <row r="48" spans="1:34" x14ac:dyDescent="0.25">
      <c r="A48" s="23">
        <v>110798</v>
      </c>
      <c r="B48" s="24" t="s">
        <v>216</v>
      </c>
      <c r="C48" s="24" t="s">
        <v>217</v>
      </c>
      <c r="D48" s="24" t="s">
        <v>177</v>
      </c>
      <c r="E48" s="24"/>
      <c r="F48" s="24"/>
      <c r="G48" s="24" t="s">
        <v>178</v>
      </c>
      <c r="H48" s="23" t="s">
        <v>179</v>
      </c>
      <c r="I48" s="25" t="s">
        <v>109</v>
      </c>
      <c r="J48" s="25" t="s">
        <v>86</v>
      </c>
      <c r="K48" s="25" t="s">
        <v>86</v>
      </c>
      <c r="L48" s="25" t="s">
        <v>86</v>
      </c>
      <c r="M48" s="66" t="s">
        <v>86</v>
      </c>
      <c r="N48" s="25" t="s">
        <v>86</v>
      </c>
      <c r="O48" s="25" t="s">
        <v>86</v>
      </c>
      <c r="P48" s="25" t="s">
        <v>86</v>
      </c>
      <c r="Q48" s="32">
        <f t="shared" si="1"/>
        <v>20</v>
      </c>
      <c r="R48" s="26" t="s">
        <v>90</v>
      </c>
      <c r="S48" s="4" t="s">
        <v>113</v>
      </c>
      <c r="T48" s="4"/>
      <c r="U48" s="31" t="s">
        <v>321</v>
      </c>
    </row>
    <row r="49" spans="1:34" x14ac:dyDescent="0.25">
      <c r="A49" s="28">
        <v>110935</v>
      </c>
      <c r="B49" s="63" t="s">
        <v>506</v>
      </c>
      <c r="C49" s="28" t="s">
        <v>507</v>
      </c>
      <c r="D49" s="28" t="s">
        <v>501</v>
      </c>
      <c r="E49" s="144"/>
      <c r="F49" s="28" t="s">
        <v>502</v>
      </c>
      <c r="G49" s="28"/>
      <c r="H49" s="33" t="s">
        <v>503</v>
      </c>
      <c r="I49" s="31" t="s">
        <v>85</v>
      </c>
      <c r="J49" s="31" t="s">
        <v>86</v>
      </c>
      <c r="K49" s="31" t="s">
        <v>86</v>
      </c>
      <c r="L49" s="31" t="s">
        <v>86</v>
      </c>
      <c r="M49" s="31" t="s">
        <v>86</v>
      </c>
      <c r="N49" s="31" t="s">
        <v>86</v>
      </c>
      <c r="O49" s="31" t="s">
        <v>86</v>
      </c>
      <c r="P49" s="31" t="s">
        <v>86</v>
      </c>
      <c r="Q49" s="32">
        <f t="shared" si="1"/>
        <v>20</v>
      </c>
      <c r="R49" s="26" t="s">
        <v>90</v>
      </c>
      <c r="S49" s="4" t="s">
        <v>113</v>
      </c>
      <c r="T49" s="4"/>
      <c r="U49" s="31"/>
    </row>
    <row r="50" spans="1:34" x14ac:dyDescent="0.25">
      <c r="A50" s="23">
        <v>110937</v>
      </c>
      <c r="B50" s="24" t="s">
        <v>508</v>
      </c>
      <c r="C50" s="24" t="s">
        <v>440</v>
      </c>
      <c r="D50" s="24" t="s">
        <v>504</v>
      </c>
      <c r="E50" s="24"/>
      <c r="F50" s="24" t="s">
        <v>505</v>
      </c>
      <c r="G50" s="24"/>
      <c r="H50" s="33" t="s">
        <v>503</v>
      </c>
      <c r="I50" s="25" t="s">
        <v>85</v>
      </c>
      <c r="J50" s="25" t="s">
        <v>86</v>
      </c>
      <c r="K50" s="25" t="s">
        <v>86</v>
      </c>
      <c r="L50" s="25" t="s">
        <v>86</v>
      </c>
      <c r="M50" s="25" t="s">
        <v>86</v>
      </c>
      <c r="N50" s="25" t="s">
        <v>86</v>
      </c>
      <c r="O50" s="25" t="s">
        <v>86</v>
      </c>
      <c r="P50" s="25" t="s">
        <v>86</v>
      </c>
      <c r="Q50" s="32">
        <f t="shared" si="1"/>
        <v>20</v>
      </c>
      <c r="R50" s="26" t="s">
        <v>90</v>
      </c>
      <c r="S50" s="4" t="s">
        <v>781</v>
      </c>
      <c r="T50" s="4"/>
      <c r="U50" s="31" t="s">
        <v>321</v>
      </c>
    </row>
    <row r="51" spans="1:34" x14ac:dyDescent="0.25">
      <c r="A51" s="23">
        <v>110939</v>
      </c>
      <c r="B51" s="23" t="s">
        <v>515</v>
      </c>
      <c r="C51" s="23" t="s">
        <v>516</v>
      </c>
      <c r="D51" s="23" t="s">
        <v>517</v>
      </c>
      <c r="E51" s="23"/>
      <c r="F51" s="23" t="s">
        <v>517</v>
      </c>
      <c r="G51" s="23"/>
      <c r="H51" s="33" t="s">
        <v>503</v>
      </c>
      <c r="I51" s="26" t="s">
        <v>85</v>
      </c>
      <c r="J51" s="26" t="s">
        <v>86</v>
      </c>
      <c r="K51" s="26" t="s">
        <v>86</v>
      </c>
      <c r="L51" s="26" t="s">
        <v>86</v>
      </c>
      <c r="M51" s="26" t="s">
        <v>86</v>
      </c>
      <c r="N51" s="26" t="s">
        <v>86</v>
      </c>
      <c r="O51" s="26" t="s">
        <v>86</v>
      </c>
      <c r="P51" s="26" t="s">
        <v>86</v>
      </c>
      <c r="Q51" s="32">
        <f t="shared" si="1"/>
        <v>20</v>
      </c>
      <c r="R51" s="26" t="s">
        <v>90</v>
      </c>
      <c r="S51" s="4" t="s">
        <v>113</v>
      </c>
      <c r="T51" s="4"/>
      <c r="U51" s="31"/>
    </row>
    <row r="52" spans="1:34" x14ac:dyDescent="0.25">
      <c r="A52" s="28">
        <v>110982</v>
      </c>
      <c r="B52" s="63" t="s">
        <v>515</v>
      </c>
      <c r="C52" s="63" t="s">
        <v>331</v>
      </c>
      <c r="D52" s="28" t="s">
        <v>589</v>
      </c>
      <c r="E52" s="28"/>
      <c r="F52" s="28" t="s">
        <v>590</v>
      </c>
      <c r="G52" s="28"/>
      <c r="H52" s="33" t="s">
        <v>503</v>
      </c>
      <c r="I52" s="31" t="s">
        <v>85</v>
      </c>
      <c r="J52" s="31" t="s">
        <v>16</v>
      </c>
      <c r="K52" s="31" t="s">
        <v>86</v>
      </c>
      <c r="L52" s="31" t="s">
        <v>86</v>
      </c>
      <c r="M52" s="31" t="s">
        <v>86</v>
      </c>
      <c r="N52" s="31" t="s">
        <v>86</v>
      </c>
      <c r="O52" s="31" t="s">
        <v>86</v>
      </c>
      <c r="P52" s="31" t="s">
        <v>86</v>
      </c>
      <c r="Q52" s="32">
        <f t="shared" si="1"/>
        <v>20</v>
      </c>
      <c r="R52" s="26" t="s">
        <v>90</v>
      </c>
      <c r="S52" s="4" t="s">
        <v>113</v>
      </c>
      <c r="T52" s="4"/>
      <c r="U52" s="31"/>
    </row>
    <row r="53" spans="1:34" x14ac:dyDescent="0.25">
      <c r="A53" s="23">
        <v>111044</v>
      </c>
      <c r="B53" s="23" t="s">
        <v>341</v>
      </c>
      <c r="C53" s="23" t="s">
        <v>342</v>
      </c>
      <c r="D53" s="23" t="s">
        <v>712</v>
      </c>
      <c r="E53" s="23"/>
      <c r="F53" s="23" t="s">
        <v>713</v>
      </c>
      <c r="G53" s="23"/>
      <c r="H53" s="33" t="s">
        <v>503</v>
      </c>
      <c r="I53" s="26" t="s">
        <v>85</v>
      </c>
      <c r="J53" s="83" t="s">
        <v>16</v>
      </c>
      <c r="K53" s="83" t="s">
        <v>86</v>
      </c>
      <c r="L53" s="83" t="s">
        <v>86</v>
      </c>
      <c r="M53" s="83" t="s">
        <v>86</v>
      </c>
      <c r="N53" s="83" t="s">
        <v>86</v>
      </c>
      <c r="O53" s="83" t="s">
        <v>86</v>
      </c>
      <c r="P53" s="83" t="s">
        <v>86</v>
      </c>
      <c r="Q53" s="32">
        <f t="shared" si="1"/>
        <v>20</v>
      </c>
      <c r="R53" s="26" t="s">
        <v>90</v>
      </c>
      <c r="S53" s="4" t="s">
        <v>113</v>
      </c>
      <c r="T53" s="4"/>
      <c r="U53" s="31" t="s">
        <v>321</v>
      </c>
    </row>
    <row r="54" spans="1:34" x14ac:dyDescent="0.25">
      <c r="A54" s="28">
        <v>110855</v>
      </c>
      <c r="B54" s="28" t="s">
        <v>341</v>
      </c>
      <c r="C54" s="28" t="s">
        <v>342</v>
      </c>
      <c r="D54" s="28" t="s">
        <v>287</v>
      </c>
      <c r="E54" s="28"/>
      <c r="F54" s="28" t="s">
        <v>288</v>
      </c>
      <c r="G54" s="28"/>
      <c r="H54" s="33" t="s">
        <v>289</v>
      </c>
      <c r="I54" s="31" t="s">
        <v>85</v>
      </c>
      <c r="J54" s="31" t="s">
        <v>86</v>
      </c>
      <c r="K54" s="31" t="s">
        <v>86</v>
      </c>
      <c r="L54" s="31" t="s">
        <v>86</v>
      </c>
      <c r="M54" s="31" t="s">
        <v>86</v>
      </c>
      <c r="N54" s="31" t="s">
        <v>86</v>
      </c>
      <c r="O54" s="31" t="s">
        <v>86</v>
      </c>
      <c r="P54" s="31" t="s">
        <v>86</v>
      </c>
      <c r="Q54" s="32">
        <f t="shared" si="1"/>
        <v>20</v>
      </c>
      <c r="R54" s="31" t="s">
        <v>90</v>
      </c>
      <c r="S54" s="4" t="s">
        <v>113</v>
      </c>
      <c r="T54" s="4"/>
      <c r="U54" s="31" t="s">
        <v>321</v>
      </c>
    </row>
    <row r="55" spans="1:34" x14ac:dyDescent="0.25">
      <c r="A55" s="28">
        <v>110858</v>
      </c>
      <c r="B55" s="28" t="s">
        <v>344</v>
      </c>
      <c r="C55" s="28" t="s">
        <v>345</v>
      </c>
      <c r="D55" s="28" t="s">
        <v>292</v>
      </c>
      <c r="E55" s="28"/>
      <c r="F55" s="28" t="s">
        <v>293</v>
      </c>
      <c r="G55" s="28"/>
      <c r="H55" s="33" t="s">
        <v>289</v>
      </c>
      <c r="I55" s="31" t="s">
        <v>85</v>
      </c>
      <c r="J55" s="31" t="s">
        <v>86</v>
      </c>
      <c r="K55" s="31" t="s">
        <v>86</v>
      </c>
      <c r="L55" s="31" t="s">
        <v>86</v>
      </c>
      <c r="M55" s="31" t="s">
        <v>86</v>
      </c>
      <c r="N55" s="31" t="s">
        <v>86</v>
      </c>
      <c r="O55" s="31" t="s">
        <v>86</v>
      </c>
      <c r="P55" s="31" t="s">
        <v>86</v>
      </c>
      <c r="Q55" s="32">
        <f t="shared" si="1"/>
        <v>20</v>
      </c>
      <c r="R55" s="31" t="s">
        <v>90</v>
      </c>
      <c r="S55" s="4" t="s">
        <v>113</v>
      </c>
      <c r="T55" s="4"/>
      <c r="U55" s="31" t="s">
        <v>321</v>
      </c>
    </row>
    <row r="56" spans="1:34" x14ac:dyDescent="0.25">
      <c r="A56" s="23">
        <v>110884</v>
      </c>
      <c r="B56" s="23" t="s">
        <v>368</v>
      </c>
      <c r="C56" s="23" t="s">
        <v>369</v>
      </c>
      <c r="D56" s="23" t="s">
        <v>322</v>
      </c>
      <c r="E56" s="23"/>
      <c r="F56" s="23" t="s">
        <v>323</v>
      </c>
      <c r="G56" s="23"/>
      <c r="H56" s="33" t="s">
        <v>289</v>
      </c>
      <c r="I56" s="26" t="s">
        <v>85</v>
      </c>
      <c r="J56" s="26" t="s">
        <v>86</v>
      </c>
      <c r="K56" s="26" t="s">
        <v>86</v>
      </c>
      <c r="L56" s="26" t="s">
        <v>86</v>
      </c>
      <c r="M56" s="26" t="s">
        <v>86</v>
      </c>
      <c r="N56" s="26" t="s">
        <v>86</v>
      </c>
      <c r="O56" s="26" t="s">
        <v>86</v>
      </c>
      <c r="P56" s="26" t="s">
        <v>86</v>
      </c>
      <c r="Q56" s="32">
        <f t="shared" si="1"/>
        <v>20</v>
      </c>
      <c r="R56" s="26" t="s">
        <v>90</v>
      </c>
      <c r="S56" s="4" t="s">
        <v>113</v>
      </c>
      <c r="T56" s="4"/>
      <c r="U56" s="31" t="s">
        <v>321</v>
      </c>
    </row>
    <row r="57" spans="1:34" x14ac:dyDescent="0.25">
      <c r="A57" s="28">
        <v>110900</v>
      </c>
      <c r="B57" s="29" t="s">
        <v>419</v>
      </c>
      <c r="C57" s="29" t="s">
        <v>420</v>
      </c>
      <c r="D57" s="29" t="s">
        <v>415</v>
      </c>
      <c r="E57" s="29"/>
      <c r="F57" s="29" t="s">
        <v>416</v>
      </c>
      <c r="G57" s="29"/>
      <c r="H57" s="34" t="s">
        <v>289</v>
      </c>
      <c r="I57" s="30" t="s">
        <v>85</v>
      </c>
      <c r="J57" s="30" t="s">
        <v>86</v>
      </c>
      <c r="K57" s="30" t="s">
        <v>86</v>
      </c>
      <c r="L57" s="30" t="s">
        <v>86</v>
      </c>
      <c r="M57" s="30" t="s">
        <v>86</v>
      </c>
      <c r="N57" s="30" t="s">
        <v>86</v>
      </c>
      <c r="O57" s="30" t="s">
        <v>86</v>
      </c>
      <c r="P57" s="30" t="s">
        <v>86</v>
      </c>
      <c r="Q57" s="32">
        <f t="shared" si="1"/>
        <v>20</v>
      </c>
      <c r="R57" s="31" t="s">
        <v>13</v>
      </c>
      <c r="S57" s="4" t="s">
        <v>113</v>
      </c>
      <c r="T57" s="4"/>
      <c r="U57" s="31" t="s">
        <v>321</v>
      </c>
    </row>
    <row r="58" spans="1:34" x14ac:dyDescent="0.25">
      <c r="A58" s="23">
        <v>111066</v>
      </c>
      <c r="B58" s="23" t="s">
        <v>343</v>
      </c>
      <c r="C58" s="23" t="s">
        <v>215</v>
      </c>
      <c r="D58" s="23" t="s">
        <v>290</v>
      </c>
      <c r="E58" s="23"/>
      <c r="F58" s="23" t="s">
        <v>291</v>
      </c>
      <c r="G58" s="23"/>
      <c r="H58" s="34" t="s">
        <v>289</v>
      </c>
      <c r="I58" s="26" t="s">
        <v>85</v>
      </c>
      <c r="J58" s="83" t="s">
        <v>86</v>
      </c>
      <c r="K58" s="83" t="s">
        <v>86</v>
      </c>
      <c r="L58" s="83" t="s">
        <v>86</v>
      </c>
      <c r="M58" s="83" t="s">
        <v>86</v>
      </c>
      <c r="N58" s="83" t="s">
        <v>86</v>
      </c>
      <c r="O58" s="83" t="s">
        <v>86</v>
      </c>
      <c r="P58" s="83" t="s">
        <v>86</v>
      </c>
      <c r="Q58" s="32">
        <f t="shared" si="1"/>
        <v>20</v>
      </c>
      <c r="R58" s="26" t="s">
        <v>90</v>
      </c>
      <c r="S58" s="4" t="s">
        <v>113</v>
      </c>
      <c r="T58" s="4"/>
      <c r="U58" s="31"/>
    </row>
    <row r="59" spans="1:34" x14ac:dyDescent="0.25">
      <c r="A59" s="28">
        <v>110840</v>
      </c>
      <c r="B59" s="28" t="s">
        <v>328</v>
      </c>
      <c r="C59" s="28" t="s">
        <v>329</v>
      </c>
      <c r="D59" s="28" t="s">
        <v>275</v>
      </c>
      <c r="E59" s="28"/>
      <c r="F59" s="28" t="s">
        <v>276</v>
      </c>
      <c r="G59" s="28"/>
      <c r="H59" s="34" t="s">
        <v>277</v>
      </c>
      <c r="I59" s="31" t="s">
        <v>85</v>
      </c>
      <c r="J59" s="31" t="s">
        <v>86</v>
      </c>
      <c r="K59" s="31" t="s">
        <v>86</v>
      </c>
      <c r="L59" s="31" t="s">
        <v>86</v>
      </c>
      <c r="M59" s="31" t="s">
        <v>86</v>
      </c>
      <c r="N59" s="31" t="s">
        <v>86</v>
      </c>
      <c r="O59" s="31" t="s">
        <v>86</v>
      </c>
      <c r="P59" s="31" t="s">
        <v>86</v>
      </c>
      <c r="Q59" s="32">
        <f t="shared" si="1"/>
        <v>20</v>
      </c>
      <c r="R59" s="26" t="s">
        <v>90</v>
      </c>
      <c r="S59" s="4" t="s">
        <v>113</v>
      </c>
      <c r="T59" s="4"/>
      <c r="U59" s="31"/>
    </row>
    <row r="60" spans="1:34" x14ac:dyDescent="0.25">
      <c r="A60" s="23">
        <v>110842</v>
      </c>
      <c r="B60" s="23" t="s">
        <v>336</v>
      </c>
      <c r="C60" s="23" t="s">
        <v>337</v>
      </c>
      <c r="D60" s="23" t="s">
        <v>280</v>
      </c>
      <c r="E60" s="23"/>
      <c r="F60" s="23" t="s">
        <v>281</v>
      </c>
      <c r="G60" s="23"/>
      <c r="H60" s="34" t="s">
        <v>277</v>
      </c>
      <c r="I60" s="26" t="s">
        <v>85</v>
      </c>
      <c r="J60" s="26" t="s">
        <v>86</v>
      </c>
      <c r="K60" s="26" t="s">
        <v>86</v>
      </c>
      <c r="L60" s="26" t="s">
        <v>16</v>
      </c>
      <c r="M60" s="26" t="s">
        <v>16</v>
      </c>
      <c r="N60" s="26" t="s">
        <v>86</v>
      </c>
      <c r="O60" s="26" t="s">
        <v>16</v>
      </c>
      <c r="P60" s="26" t="s">
        <v>86</v>
      </c>
      <c r="Q60" s="32">
        <f t="shared" si="1"/>
        <v>43</v>
      </c>
      <c r="R60" s="26" t="s">
        <v>90</v>
      </c>
      <c r="S60" s="4" t="s">
        <v>113</v>
      </c>
      <c r="T60" s="4"/>
      <c r="U60" s="31"/>
      <c r="AB60" s="94"/>
    </row>
    <row r="61" spans="1:34" x14ac:dyDescent="0.25">
      <c r="A61" s="28">
        <v>110845</v>
      </c>
      <c r="B61" s="29" t="s">
        <v>338</v>
      </c>
      <c r="C61" s="29" t="s">
        <v>339</v>
      </c>
      <c r="D61" s="29" t="s">
        <v>282</v>
      </c>
      <c r="E61" s="29"/>
      <c r="F61" s="29" t="s">
        <v>283</v>
      </c>
      <c r="G61" s="29"/>
      <c r="H61" s="34" t="s">
        <v>277</v>
      </c>
      <c r="I61" s="30" t="s">
        <v>85</v>
      </c>
      <c r="J61" s="30" t="s">
        <v>16</v>
      </c>
      <c r="K61" s="30" t="s">
        <v>86</v>
      </c>
      <c r="L61" s="30" t="s">
        <v>16</v>
      </c>
      <c r="M61" s="30" t="s">
        <v>86</v>
      </c>
      <c r="N61" s="30" t="s">
        <v>86</v>
      </c>
      <c r="O61" s="30" t="s">
        <v>86</v>
      </c>
      <c r="P61" s="30" t="s">
        <v>86</v>
      </c>
      <c r="Q61" s="32">
        <f t="shared" si="1"/>
        <v>25</v>
      </c>
      <c r="R61" s="31" t="s">
        <v>90</v>
      </c>
      <c r="S61" s="4" t="s">
        <v>113</v>
      </c>
      <c r="T61" s="4"/>
      <c r="U61" s="31" t="s">
        <v>321</v>
      </c>
    </row>
    <row r="62" spans="1:34" x14ac:dyDescent="0.25">
      <c r="A62" s="28">
        <v>110911</v>
      </c>
      <c r="B62" s="29" t="s">
        <v>328</v>
      </c>
      <c r="C62" s="29" t="s">
        <v>472</v>
      </c>
      <c r="D62" s="29" t="s">
        <v>447</v>
      </c>
      <c r="E62" s="29"/>
      <c r="F62" s="29" t="s">
        <v>448</v>
      </c>
      <c r="G62" s="29"/>
      <c r="H62" s="34" t="s">
        <v>277</v>
      </c>
      <c r="I62" s="30" t="s">
        <v>85</v>
      </c>
      <c r="J62" s="30" t="s">
        <v>16</v>
      </c>
      <c r="K62" s="30" t="s">
        <v>86</v>
      </c>
      <c r="L62" s="30" t="s">
        <v>16</v>
      </c>
      <c r="M62" s="30" t="s">
        <v>86</v>
      </c>
      <c r="N62" s="30" t="s">
        <v>86</v>
      </c>
      <c r="O62" s="30" t="s">
        <v>16</v>
      </c>
      <c r="P62" s="30" t="s">
        <v>86</v>
      </c>
      <c r="Q62" s="32">
        <f t="shared" si="1"/>
        <v>30</v>
      </c>
      <c r="R62" s="31" t="s">
        <v>13</v>
      </c>
      <c r="S62" s="4" t="s">
        <v>113</v>
      </c>
      <c r="T62" s="4"/>
      <c r="U62" s="31"/>
      <c r="AB62" s="35"/>
      <c r="AC62" s="21"/>
      <c r="AD62" s="21"/>
      <c r="AE62" s="21"/>
      <c r="AF62" s="21"/>
      <c r="AG62" s="21"/>
      <c r="AH62" s="21"/>
    </row>
    <row r="63" spans="1:34" x14ac:dyDescent="0.25">
      <c r="A63" s="23">
        <v>110978</v>
      </c>
      <c r="B63" s="23" t="s">
        <v>587</v>
      </c>
      <c r="C63" s="23" t="s">
        <v>412</v>
      </c>
      <c r="D63" s="23" t="s">
        <v>575</v>
      </c>
      <c r="E63" s="23"/>
      <c r="F63" s="23" t="s">
        <v>576</v>
      </c>
      <c r="G63" s="23"/>
      <c r="H63" s="34" t="s">
        <v>277</v>
      </c>
      <c r="I63" s="26" t="s">
        <v>85</v>
      </c>
      <c r="J63" s="26" t="s">
        <v>16</v>
      </c>
      <c r="K63" s="26" t="s">
        <v>86</v>
      </c>
      <c r="L63" s="26" t="s">
        <v>86</v>
      </c>
      <c r="M63" s="26" t="s">
        <v>16</v>
      </c>
      <c r="N63" s="26" t="s">
        <v>86</v>
      </c>
      <c r="O63" s="26" t="s">
        <v>86</v>
      </c>
      <c r="P63" s="26" t="s">
        <v>86</v>
      </c>
      <c r="Q63" s="32">
        <f t="shared" si="1"/>
        <v>33</v>
      </c>
      <c r="R63" s="31" t="s">
        <v>13</v>
      </c>
      <c r="S63" s="4" t="s">
        <v>113</v>
      </c>
      <c r="T63" s="4"/>
      <c r="U63" s="31"/>
      <c r="AB63" s="94"/>
    </row>
    <row r="64" spans="1:34" x14ac:dyDescent="0.25">
      <c r="A64" s="28">
        <v>110786</v>
      </c>
      <c r="B64" s="29" t="s">
        <v>200</v>
      </c>
      <c r="C64" s="29" t="s">
        <v>201</v>
      </c>
      <c r="D64" s="29" t="s">
        <v>161</v>
      </c>
      <c r="E64" s="29" t="s">
        <v>162</v>
      </c>
      <c r="F64" s="29"/>
      <c r="G64" s="29"/>
      <c r="H64" s="28" t="s">
        <v>163</v>
      </c>
      <c r="I64" s="30" t="s">
        <v>97</v>
      </c>
      <c r="J64" s="30" t="s">
        <v>86</v>
      </c>
      <c r="K64" s="30" t="s">
        <v>86</v>
      </c>
      <c r="L64" s="30" t="s">
        <v>86</v>
      </c>
      <c r="M64" s="30" t="s">
        <v>86</v>
      </c>
      <c r="N64" s="30" t="s">
        <v>86</v>
      </c>
      <c r="O64" s="30" t="s">
        <v>86</v>
      </c>
      <c r="P64" s="30" t="s">
        <v>86</v>
      </c>
      <c r="Q64" s="32">
        <f t="shared" si="1"/>
        <v>20</v>
      </c>
      <c r="R64" s="31" t="s">
        <v>13</v>
      </c>
      <c r="S64" s="4" t="s">
        <v>113</v>
      </c>
      <c r="T64" s="4"/>
      <c r="U64" s="31"/>
      <c r="AB64" s="94"/>
    </row>
    <row r="65" spans="1:34" x14ac:dyDescent="0.25">
      <c r="A65" s="23">
        <v>110789</v>
      </c>
      <c r="B65" s="23" t="s">
        <v>202</v>
      </c>
      <c r="C65" s="23" t="s">
        <v>203</v>
      </c>
      <c r="D65" s="23" t="s">
        <v>164</v>
      </c>
      <c r="E65" s="23" t="s">
        <v>165</v>
      </c>
      <c r="F65" s="23"/>
      <c r="G65" s="23"/>
      <c r="H65" s="28" t="s">
        <v>163</v>
      </c>
      <c r="I65" s="26" t="s">
        <v>97</v>
      </c>
      <c r="J65" s="26" t="s">
        <v>86</v>
      </c>
      <c r="K65" s="26" t="s">
        <v>86</v>
      </c>
      <c r="L65" s="26" t="s">
        <v>86</v>
      </c>
      <c r="M65" s="26" t="s">
        <v>86</v>
      </c>
      <c r="N65" s="26" t="s">
        <v>86</v>
      </c>
      <c r="O65" s="26" t="s">
        <v>86</v>
      </c>
      <c r="P65" s="26" t="s">
        <v>86</v>
      </c>
      <c r="Q65" s="32">
        <f t="shared" si="1"/>
        <v>20</v>
      </c>
      <c r="R65" s="31" t="s">
        <v>13</v>
      </c>
      <c r="S65" s="4" t="s">
        <v>113</v>
      </c>
      <c r="T65" s="4"/>
      <c r="U65" s="31"/>
      <c r="AB65" s="35"/>
      <c r="AC65" s="21"/>
      <c r="AD65" s="21"/>
      <c r="AE65" s="21"/>
      <c r="AF65" s="21"/>
      <c r="AG65" s="21"/>
      <c r="AH65" s="21"/>
    </row>
    <row r="66" spans="1:34" x14ac:dyDescent="0.25">
      <c r="A66" s="28">
        <v>110807</v>
      </c>
      <c r="B66" s="29" t="s">
        <v>228</v>
      </c>
      <c r="C66" s="29" t="s">
        <v>229</v>
      </c>
      <c r="D66" s="29" t="s">
        <v>189</v>
      </c>
      <c r="E66" s="29" t="s">
        <v>190</v>
      </c>
      <c r="F66" s="29"/>
      <c r="G66" s="29"/>
      <c r="H66" s="28" t="s">
        <v>163</v>
      </c>
      <c r="I66" s="30" t="s">
        <v>97</v>
      </c>
      <c r="J66" s="30" t="s">
        <v>86</v>
      </c>
      <c r="K66" s="30" t="s">
        <v>86</v>
      </c>
      <c r="L66" s="30" t="s">
        <v>86</v>
      </c>
      <c r="M66" s="30" t="s">
        <v>86</v>
      </c>
      <c r="N66" s="30" t="s">
        <v>86</v>
      </c>
      <c r="O66" s="30" t="s">
        <v>86</v>
      </c>
      <c r="P66" s="30" t="s">
        <v>86</v>
      </c>
      <c r="Q66" s="32">
        <f t="shared" ref="Q66:Q97" si="2">IF(R66="Coupon",0,(20+IF(K66="X",13,0)+IF(L66="X",5,0)+IF(M66="X",13,0)+IF(N66="X",13,0)+IF(O66="X",5,0)+IF(P66="X",13,0)-IF(T66="x",15,0)))</f>
        <v>20</v>
      </c>
      <c r="R66" s="31" t="s">
        <v>231</v>
      </c>
      <c r="S66" s="4" t="s">
        <v>113</v>
      </c>
      <c r="T66" s="4"/>
      <c r="U66" s="31"/>
    </row>
    <row r="67" spans="1:34" x14ac:dyDescent="0.25">
      <c r="A67" s="23">
        <v>110826</v>
      </c>
      <c r="B67" s="23" t="s">
        <v>261</v>
      </c>
      <c r="C67" s="23" t="s">
        <v>262</v>
      </c>
      <c r="D67" s="23" t="s">
        <v>259</v>
      </c>
      <c r="E67" s="23" t="s">
        <v>259</v>
      </c>
      <c r="F67" s="23"/>
      <c r="G67" s="23"/>
      <c r="H67" s="28" t="s">
        <v>163</v>
      </c>
      <c r="I67" s="26" t="s">
        <v>97</v>
      </c>
      <c r="J67" s="26" t="s">
        <v>86</v>
      </c>
      <c r="K67" s="26" t="s">
        <v>86</v>
      </c>
      <c r="L67" s="26" t="s">
        <v>86</v>
      </c>
      <c r="M67" s="26" t="s">
        <v>86</v>
      </c>
      <c r="N67" s="26" t="s">
        <v>86</v>
      </c>
      <c r="O67" s="26" t="s">
        <v>86</v>
      </c>
      <c r="P67" s="26" t="s">
        <v>86</v>
      </c>
      <c r="Q67" s="32">
        <f t="shared" si="2"/>
        <v>20</v>
      </c>
      <c r="R67" s="26" t="s">
        <v>13</v>
      </c>
      <c r="S67" s="4" t="s">
        <v>113</v>
      </c>
      <c r="T67" s="4"/>
      <c r="U67" s="31" t="s">
        <v>321</v>
      </c>
    </row>
    <row r="68" spans="1:34" x14ac:dyDescent="0.25">
      <c r="A68" s="28">
        <v>110838</v>
      </c>
      <c r="B68" s="29" t="s">
        <v>332</v>
      </c>
      <c r="C68" s="29" t="s">
        <v>333</v>
      </c>
      <c r="D68" s="29" t="s">
        <v>273</v>
      </c>
      <c r="E68" s="29" t="s">
        <v>274</v>
      </c>
      <c r="F68" s="29"/>
      <c r="G68" s="29"/>
      <c r="H68" s="28" t="s">
        <v>163</v>
      </c>
      <c r="I68" s="30" t="s">
        <v>97</v>
      </c>
      <c r="J68" s="30" t="s">
        <v>86</v>
      </c>
      <c r="K68" s="30" t="s">
        <v>86</v>
      </c>
      <c r="L68" s="30" t="s">
        <v>86</v>
      </c>
      <c r="M68" s="30" t="s">
        <v>86</v>
      </c>
      <c r="N68" s="30" t="s">
        <v>86</v>
      </c>
      <c r="O68" s="30" t="s">
        <v>86</v>
      </c>
      <c r="P68" s="30" t="s">
        <v>86</v>
      </c>
      <c r="Q68" s="32">
        <f t="shared" si="2"/>
        <v>20</v>
      </c>
      <c r="R68" s="31" t="s">
        <v>13</v>
      </c>
      <c r="S68" s="4" t="s">
        <v>113</v>
      </c>
      <c r="T68" s="4"/>
      <c r="U68" s="31" t="s">
        <v>321</v>
      </c>
    </row>
    <row r="69" spans="1:34" x14ac:dyDescent="0.25">
      <c r="A69" s="23">
        <v>111018</v>
      </c>
      <c r="B69" s="23" t="s">
        <v>660</v>
      </c>
      <c r="C69" s="23" t="s">
        <v>661</v>
      </c>
      <c r="D69" s="23" t="s">
        <v>658</v>
      </c>
      <c r="E69" s="23" t="s">
        <v>659</v>
      </c>
      <c r="F69" s="23"/>
      <c r="G69" s="23"/>
      <c r="H69" s="28" t="s">
        <v>163</v>
      </c>
      <c r="I69" s="26" t="s">
        <v>86</v>
      </c>
      <c r="J69" s="83" t="s">
        <v>86</v>
      </c>
      <c r="K69" s="83" t="s">
        <v>86</v>
      </c>
      <c r="L69" s="83" t="s">
        <v>86</v>
      </c>
      <c r="M69" s="83" t="s">
        <v>86</v>
      </c>
      <c r="N69" s="83" t="s">
        <v>86</v>
      </c>
      <c r="O69" s="83" t="s">
        <v>86</v>
      </c>
      <c r="P69" s="83" t="s">
        <v>86</v>
      </c>
      <c r="Q69" s="32">
        <f t="shared" si="2"/>
        <v>20</v>
      </c>
      <c r="R69" s="31" t="s">
        <v>13</v>
      </c>
      <c r="S69" s="4" t="s">
        <v>113</v>
      </c>
      <c r="T69" s="4"/>
      <c r="U69" s="31" t="s">
        <v>321</v>
      </c>
    </row>
    <row r="70" spans="1:34" x14ac:dyDescent="0.25">
      <c r="A70" s="28">
        <v>110993</v>
      </c>
      <c r="B70" s="28" t="s">
        <v>754</v>
      </c>
      <c r="C70" s="28" t="s">
        <v>472</v>
      </c>
      <c r="D70" s="28" t="s">
        <v>755</v>
      </c>
      <c r="E70" s="28"/>
      <c r="F70" s="28" t="s">
        <v>755</v>
      </c>
      <c r="G70" s="28"/>
      <c r="H70" s="34" t="s">
        <v>386</v>
      </c>
      <c r="I70" s="31" t="s">
        <v>85</v>
      </c>
      <c r="J70" s="81" t="s">
        <v>16</v>
      </c>
      <c r="K70" s="81" t="s">
        <v>86</v>
      </c>
      <c r="L70" s="81" t="s">
        <v>86</v>
      </c>
      <c r="M70" s="81" t="s">
        <v>86</v>
      </c>
      <c r="N70" s="81" t="s">
        <v>86</v>
      </c>
      <c r="O70" s="81" t="s">
        <v>86</v>
      </c>
      <c r="P70" s="81" t="s">
        <v>86</v>
      </c>
      <c r="Q70" s="32">
        <f t="shared" si="2"/>
        <v>20</v>
      </c>
      <c r="R70" s="31" t="s">
        <v>13</v>
      </c>
      <c r="S70" s="4" t="s">
        <v>113</v>
      </c>
      <c r="T70" s="4"/>
      <c r="U70" s="31" t="s">
        <v>321</v>
      </c>
    </row>
    <row r="71" spans="1:34" x14ac:dyDescent="0.25">
      <c r="A71" s="23">
        <v>110996</v>
      </c>
      <c r="B71" s="23" t="s">
        <v>620</v>
      </c>
      <c r="C71" s="23" t="s">
        <v>333</v>
      </c>
      <c r="D71" s="23" t="s">
        <v>609</v>
      </c>
      <c r="E71" s="23"/>
      <c r="F71" s="23" t="s">
        <v>609</v>
      </c>
      <c r="G71" s="23"/>
      <c r="H71" s="34" t="s">
        <v>386</v>
      </c>
      <c r="I71" s="26" t="s">
        <v>85</v>
      </c>
      <c r="J71" s="83" t="s">
        <v>86</v>
      </c>
      <c r="K71" s="83" t="s">
        <v>86</v>
      </c>
      <c r="L71" s="83" t="s">
        <v>86</v>
      </c>
      <c r="M71" s="83" t="s">
        <v>86</v>
      </c>
      <c r="N71" s="83" t="s">
        <v>86</v>
      </c>
      <c r="O71" s="83" t="s">
        <v>86</v>
      </c>
      <c r="P71" s="83" t="s">
        <v>86</v>
      </c>
      <c r="Q71" s="32">
        <f t="shared" si="2"/>
        <v>20</v>
      </c>
      <c r="R71" s="31" t="s">
        <v>90</v>
      </c>
      <c r="S71" s="4" t="s">
        <v>113</v>
      </c>
      <c r="T71" s="4"/>
      <c r="U71" s="31"/>
    </row>
    <row r="72" spans="1:34" x14ac:dyDescent="0.25">
      <c r="A72" s="23">
        <v>110997</v>
      </c>
      <c r="B72" s="23" t="s">
        <v>398</v>
      </c>
      <c r="C72" s="23" t="s">
        <v>399</v>
      </c>
      <c r="D72" s="23" t="s">
        <v>384</v>
      </c>
      <c r="E72" s="23"/>
      <c r="F72" s="23" t="s">
        <v>385</v>
      </c>
      <c r="G72" s="23"/>
      <c r="H72" s="34" t="s">
        <v>386</v>
      </c>
      <c r="I72" s="26" t="s">
        <v>85</v>
      </c>
      <c r="J72" s="83" t="s">
        <v>86</v>
      </c>
      <c r="K72" s="83" t="s">
        <v>86</v>
      </c>
      <c r="L72" s="83" t="s">
        <v>86</v>
      </c>
      <c r="M72" s="83" t="s">
        <v>86</v>
      </c>
      <c r="N72" s="83" t="s">
        <v>86</v>
      </c>
      <c r="O72" s="83" t="s">
        <v>86</v>
      </c>
      <c r="P72" s="83" t="s">
        <v>86</v>
      </c>
      <c r="Q72" s="32">
        <f t="shared" si="2"/>
        <v>20</v>
      </c>
      <c r="R72" s="26" t="s">
        <v>90</v>
      </c>
      <c r="S72" s="4" t="s">
        <v>113</v>
      </c>
      <c r="T72" s="4"/>
      <c r="U72" s="31"/>
    </row>
    <row r="73" spans="1:34" x14ac:dyDescent="0.25">
      <c r="A73" s="28">
        <v>111000</v>
      </c>
      <c r="B73" s="28" t="s">
        <v>621</v>
      </c>
      <c r="C73" s="28" t="s">
        <v>198</v>
      </c>
      <c r="D73" s="28" t="s">
        <v>610</v>
      </c>
      <c r="E73" s="28"/>
      <c r="F73" s="28" t="s">
        <v>611</v>
      </c>
      <c r="G73" s="28"/>
      <c r="H73" s="34" t="s">
        <v>386</v>
      </c>
      <c r="I73" s="31" t="s">
        <v>85</v>
      </c>
      <c r="J73" s="81" t="s">
        <v>86</v>
      </c>
      <c r="K73" s="81" t="s">
        <v>86</v>
      </c>
      <c r="L73" s="81" t="s">
        <v>86</v>
      </c>
      <c r="M73" s="81" t="s">
        <v>86</v>
      </c>
      <c r="N73" s="81" t="s">
        <v>86</v>
      </c>
      <c r="O73" s="81" t="s">
        <v>86</v>
      </c>
      <c r="P73" s="81" t="s">
        <v>86</v>
      </c>
      <c r="Q73" s="32">
        <f t="shared" si="2"/>
        <v>20</v>
      </c>
      <c r="R73" s="31" t="s">
        <v>90</v>
      </c>
      <c r="S73" s="4" t="s">
        <v>113</v>
      </c>
      <c r="T73" s="4"/>
      <c r="U73" s="31" t="s">
        <v>321</v>
      </c>
    </row>
    <row r="74" spans="1:34" x14ac:dyDescent="0.25">
      <c r="A74" s="23">
        <v>111011</v>
      </c>
      <c r="B74" s="23" t="s">
        <v>641</v>
      </c>
      <c r="C74" s="23" t="s">
        <v>642</v>
      </c>
      <c r="D74" s="23" t="s">
        <v>637</v>
      </c>
      <c r="E74" s="23"/>
      <c r="F74" s="23" t="s">
        <v>638</v>
      </c>
      <c r="G74" s="23"/>
      <c r="H74" s="34" t="s">
        <v>386</v>
      </c>
      <c r="I74" s="26" t="s">
        <v>85</v>
      </c>
      <c r="J74" s="83" t="s">
        <v>86</v>
      </c>
      <c r="K74" s="83" t="s">
        <v>86</v>
      </c>
      <c r="L74" s="83" t="s">
        <v>86</v>
      </c>
      <c r="M74" s="83" t="s">
        <v>86</v>
      </c>
      <c r="N74" s="83" t="s">
        <v>86</v>
      </c>
      <c r="O74" s="83" t="s">
        <v>86</v>
      </c>
      <c r="P74" s="83" t="s">
        <v>86</v>
      </c>
      <c r="Q74" s="32">
        <f t="shared" si="2"/>
        <v>20</v>
      </c>
      <c r="R74" s="26" t="s">
        <v>90</v>
      </c>
      <c r="S74" s="4" t="s">
        <v>87</v>
      </c>
      <c r="T74" s="4"/>
      <c r="U74" s="31"/>
    </row>
    <row r="75" spans="1:34" x14ac:dyDescent="0.25">
      <c r="A75" s="28">
        <v>111012</v>
      </c>
      <c r="B75" s="28" t="s">
        <v>643</v>
      </c>
      <c r="C75" s="28" t="s">
        <v>127</v>
      </c>
      <c r="D75" s="28" t="s">
        <v>639</v>
      </c>
      <c r="E75" s="28"/>
      <c r="F75" s="28" t="s">
        <v>639</v>
      </c>
      <c r="G75" s="28"/>
      <c r="H75" s="34" t="s">
        <v>386</v>
      </c>
      <c r="I75" s="31" t="s">
        <v>85</v>
      </c>
      <c r="J75" s="81" t="s">
        <v>86</v>
      </c>
      <c r="K75" s="81" t="s">
        <v>86</v>
      </c>
      <c r="L75" s="81" t="s">
        <v>86</v>
      </c>
      <c r="M75" s="81" t="s">
        <v>86</v>
      </c>
      <c r="N75" s="81" t="s">
        <v>86</v>
      </c>
      <c r="O75" s="81" t="s">
        <v>86</v>
      </c>
      <c r="P75" s="81" t="s">
        <v>86</v>
      </c>
      <c r="Q75" s="32">
        <f t="shared" si="2"/>
        <v>20</v>
      </c>
      <c r="R75" s="31" t="s">
        <v>103</v>
      </c>
      <c r="S75" s="4" t="s">
        <v>113</v>
      </c>
      <c r="T75" s="4"/>
      <c r="U75" s="31" t="s">
        <v>321</v>
      </c>
    </row>
    <row r="76" spans="1:34" x14ac:dyDescent="0.25">
      <c r="A76" s="23">
        <v>111055</v>
      </c>
      <c r="B76" s="23" t="s">
        <v>738</v>
      </c>
      <c r="C76" s="23" t="s">
        <v>94</v>
      </c>
      <c r="D76" s="23" t="s">
        <v>720</v>
      </c>
      <c r="E76" s="23" t="s">
        <v>721</v>
      </c>
      <c r="F76" s="23"/>
      <c r="G76" s="23"/>
      <c r="H76" s="34" t="s">
        <v>722</v>
      </c>
      <c r="I76" s="26" t="s">
        <v>86</v>
      </c>
      <c r="J76" s="83" t="s">
        <v>86</v>
      </c>
      <c r="K76" s="83" t="s">
        <v>86</v>
      </c>
      <c r="L76" s="83" t="s">
        <v>86</v>
      </c>
      <c r="M76" s="83" t="s">
        <v>86</v>
      </c>
      <c r="N76" s="83" t="s">
        <v>86</v>
      </c>
      <c r="O76" s="83" t="s">
        <v>86</v>
      </c>
      <c r="P76" s="83" t="s">
        <v>86</v>
      </c>
      <c r="Q76" s="32">
        <f t="shared" si="2"/>
        <v>20</v>
      </c>
      <c r="R76" s="26" t="s">
        <v>90</v>
      </c>
      <c r="S76" s="4" t="s">
        <v>113</v>
      </c>
      <c r="T76" s="4"/>
      <c r="U76" s="31" t="s">
        <v>321</v>
      </c>
    </row>
    <row r="77" spans="1:34" x14ac:dyDescent="0.25">
      <c r="A77" s="28">
        <v>111057</v>
      </c>
      <c r="B77" s="28" t="s">
        <v>739</v>
      </c>
      <c r="C77" s="28" t="s">
        <v>740</v>
      </c>
      <c r="D77" s="28" t="s">
        <v>723</v>
      </c>
      <c r="E77" s="28" t="s">
        <v>724</v>
      </c>
      <c r="F77" s="23" t="s">
        <v>723</v>
      </c>
      <c r="G77" s="28"/>
      <c r="H77" s="34" t="s">
        <v>722</v>
      </c>
      <c r="I77" s="31" t="s">
        <v>86</v>
      </c>
      <c r="J77" s="81" t="s">
        <v>86</v>
      </c>
      <c r="K77" s="81" t="s">
        <v>86</v>
      </c>
      <c r="L77" s="81" t="s">
        <v>86</v>
      </c>
      <c r="M77" s="81" t="s">
        <v>16</v>
      </c>
      <c r="N77" s="81" t="s">
        <v>86</v>
      </c>
      <c r="O77" s="81" t="s">
        <v>86</v>
      </c>
      <c r="P77" s="81" t="s">
        <v>86</v>
      </c>
      <c r="Q77" s="32">
        <f t="shared" si="2"/>
        <v>33</v>
      </c>
      <c r="R77" s="31" t="s">
        <v>13</v>
      </c>
      <c r="S77" s="4" t="s">
        <v>113</v>
      </c>
      <c r="T77" s="4"/>
      <c r="U77" s="31" t="s">
        <v>321</v>
      </c>
    </row>
    <row r="78" spans="1:34" x14ac:dyDescent="0.25">
      <c r="A78" s="23">
        <v>111059</v>
      </c>
      <c r="B78" s="23" t="s">
        <v>741</v>
      </c>
      <c r="C78" s="23" t="s">
        <v>345</v>
      </c>
      <c r="D78" s="23" t="s">
        <v>725</v>
      </c>
      <c r="E78" s="23" t="s">
        <v>726</v>
      </c>
      <c r="F78" s="23" t="s">
        <v>727</v>
      </c>
      <c r="G78" s="23" t="s">
        <v>728</v>
      </c>
      <c r="H78" s="34" t="s">
        <v>722</v>
      </c>
      <c r="I78" s="26" t="s">
        <v>86</v>
      </c>
      <c r="J78" s="83" t="s">
        <v>86</v>
      </c>
      <c r="K78" s="83" t="s">
        <v>86</v>
      </c>
      <c r="L78" s="83" t="s">
        <v>86</v>
      </c>
      <c r="M78" s="83" t="s">
        <v>86</v>
      </c>
      <c r="N78" s="83" t="s">
        <v>86</v>
      </c>
      <c r="O78" s="83" t="s">
        <v>86</v>
      </c>
      <c r="P78" s="83" t="s">
        <v>86</v>
      </c>
      <c r="Q78" s="32">
        <f t="shared" si="2"/>
        <v>20</v>
      </c>
      <c r="R78" s="26" t="s">
        <v>90</v>
      </c>
      <c r="S78" s="4" t="s">
        <v>113</v>
      </c>
      <c r="T78" s="4"/>
      <c r="U78" s="31" t="s">
        <v>321</v>
      </c>
    </row>
    <row r="79" spans="1:34" x14ac:dyDescent="0.25">
      <c r="A79" s="23">
        <v>111060</v>
      </c>
      <c r="B79" s="23" t="s">
        <v>742</v>
      </c>
      <c r="C79" s="23" t="s">
        <v>743</v>
      </c>
      <c r="D79" s="23" t="s">
        <v>744</v>
      </c>
      <c r="E79" s="23" t="s">
        <v>745</v>
      </c>
      <c r="F79" s="23" t="s">
        <v>746</v>
      </c>
      <c r="G79" s="23" t="s">
        <v>747</v>
      </c>
      <c r="H79" s="34" t="s">
        <v>722</v>
      </c>
      <c r="I79" s="26" t="s">
        <v>109</v>
      </c>
      <c r="J79" s="83" t="s">
        <v>86</v>
      </c>
      <c r="K79" s="83" t="s">
        <v>86</v>
      </c>
      <c r="L79" s="83" t="s">
        <v>86</v>
      </c>
      <c r="M79" s="83" t="s">
        <v>86</v>
      </c>
      <c r="N79" s="83" t="s">
        <v>86</v>
      </c>
      <c r="O79" s="83" t="s">
        <v>86</v>
      </c>
      <c r="P79" s="83" t="s">
        <v>86</v>
      </c>
      <c r="Q79" s="32">
        <f t="shared" si="2"/>
        <v>20</v>
      </c>
      <c r="R79" s="26" t="s">
        <v>90</v>
      </c>
      <c r="S79" s="4" t="s">
        <v>113</v>
      </c>
      <c r="T79" s="4"/>
      <c r="U79" s="31" t="s">
        <v>321</v>
      </c>
    </row>
    <row r="80" spans="1:34" x14ac:dyDescent="0.25">
      <c r="A80" s="28">
        <v>110912</v>
      </c>
      <c r="B80" s="29" t="s">
        <v>473</v>
      </c>
      <c r="C80" s="29" t="s">
        <v>474</v>
      </c>
      <c r="D80" s="29" t="s">
        <v>449</v>
      </c>
      <c r="E80" s="29" t="s">
        <v>450</v>
      </c>
      <c r="F80" s="29"/>
      <c r="G80" s="29"/>
      <c r="H80" s="28" t="s">
        <v>451</v>
      </c>
      <c r="I80" s="30" t="s">
        <v>97</v>
      </c>
      <c r="J80" s="30" t="s">
        <v>86</v>
      </c>
      <c r="K80" s="30" t="s">
        <v>86</v>
      </c>
      <c r="L80" s="30" t="s">
        <v>86</v>
      </c>
      <c r="M80" s="30" t="s">
        <v>86</v>
      </c>
      <c r="N80" s="30" t="s">
        <v>86</v>
      </c>
      <c r="O80" s="30" t="s">
        <v>86</v>
      </c>
      <c r="P80" s="30" t="s">
        <v>86</v>
      </c>
      <c r="Q80" s="32">
        <f t="shared" si="2"/>
        <v>20</v>
      </c>
      <c r="R80" s="31" t="s">
        <v>13</v>
      </c>
      <c r="S80" s="4" t="s">
        <v>113</v>
      </c>
      <c r="T80" s="4"/>
      <c r="U80" s="31"/>
    </row>
    <row r="81" spans="1:28" x14ac:dyDescent="0.25">
      <c r="A81" s="23">
        <v>110920</v>
      </c>
      <c r="B81" s="23" t="s">
        <v>481</v>
      </c>
      <c r="C81" s="23" t="s">
        <v>99</v>
      </c>
      <c r="D81" s="23" t="s">
        <v>459</v>
      </c>
      <c r="E81" s="23" t="s">
        <v>460</v>
      </c>
      <c r="F81" s="23"/>
      <c r="G81" s="23"/>
      <c r="H81" s="28" t="s">
        <v>451</v>
      </c>
      <c r="I81" s="26" t="s">
        <v>97</v>
      </c>
      <c r="J81" s="26" t="s">
        <v>86</v>
      </c>
      <c r="K81" s="26" t="s">
        <v>86</v>
      </c>
      <c r="L81" s="26" t="s">
        <v>86</v>
      </c>
      <c r="M81" s="26" t="s">
        <v>86</v>
      </c>
      <c r="N81" s="26" t="s">
        <v>86</v>
      </c>
      <c r="O81" s="26" t="s">
        <v>86</v>
      </c>
      <c r="P81" s="26" t="s">
        <v>86</v>
      </c>
      <c r="Q81" s="32">
        <f t="shared" si="2"/>
        <v>20</v>
      </c>
      <c r="R81" s="26" t="s">
        <v>90</v>
      </c>
      <c r="S81" s="4" t="s">
        <v>113</v>
      </c>
      <c r="T81" s="4"/>
      <c r="U81" s="31"/>
    </row>
    <row r="82" spans="1:28" x14ac:dyDescent="0.25">
      <c r="A82" s="23">
        <v>110931</v>
      </c>
      <c r="B82" s="23" t="s">
        <v>332</v>
      </c>
      <c r="C82" s="23" t="s">
        <v>382</v>
      </c>
      <c r="D82" s="23" t="s">
        <v>380</v>
      </c>
      <c r="E82" s="23" t="s">
        <v>381</v>
      </c>
      <c r="F82" s="23"/>
      <c r="G82" s="23"/>
      <c r="H82" s="28" t="s">
        <v>451</v>
      </c>
      <c r="I82" s="26" t="s">
        <v>97</v>
      </c>
      <c r="J82" s="26" t="s">
        <v>86</v>
      </c>
      <c r="K82" s="26" t="s">
        <v>86</v>
      </c>
      <c r="L82" s="26" t="s">
        <v>86</v>
      </c>
      <c r="M82" s="26" t="s">
        <v>86</v>
      </c>
      <c r="N82" s="26" t="s">
        <v>86</v>
      </c>
      <c r="O82" s="26" t="s">
        <v>86</v>
      </c>
      <c r="P82" s="26" t="s">
        <v>86</v>
      </c>
      <c r="Q82" s="32">
        <f t="shared" si="2"/>
        <v>20</v>
      </c>
      <c r="R82" s="26" t="s">
        <v>90</v>
      </c>
      <c r="S82" s="4" t="s">
        <v>113</v>
      </c>
      <c r="T82" s="4"/>
      <c r="U82" s="31"/>
      <c r="AB82" s="94"/>
    </row>
    <row r="83" spans="1:28" x14ac:dyDescent="0.25">
      <c r="A83" s="28">
        <v>111065</v>
      </c>
      <c r="B83" s="28" t="s">
        <v>482</v>
      </c>
      <c r="C83" s="28" t="s">
        <v>483</v>
      </c>
      <c r="D83" s="28" t="s">
        <v>461</v>
      </c>
      <c r="E83" s="28" t="s">
        <v>482</v>
      </c>
      <c r="F83" s="28"/>
      <c r="G83" s="28"/>
      <c r="H83" s="34" t="s">
        <v>471</v>
      </c>
      <c r="I83" s="31" t="s">
        <v>97</v>
      </c>
      <c r="J83" s="81" t="s">
        <v>86</v>
      </c>
      <c r="K83" s="81" t="s">
        <v>86</v>
      </c>
      <c r="L83" s="81" t="s">
        <v>86</v>
      </c>
      <c r="M83" s="81" t="s">
        <v>86</v>
      </c>
      <c r="N83" s="81" t="s">
        <v>86</v>
      </c>
      <c r="O83" s="81" t="s">
        <v>86</v>
      </c>
      <c r="P83" s="81" t="s">
        <v>86</v>
      </c>
      <c r="Q83" s="32">
        <f t="shared" si="2"/>
        <v>20</v>
      </c>
      <c r="R83" s="31" t="s">
        <v>13</v>
      </c>
      <c r="S83" s="4" t="s">
        <v>113</v>
      </c>
      <c r="T83" s="4"/>
      <c r="U83" s="31"/>
      <c r="AB83" s="94"/>
    </row>
    <row r="84" spans="1:28" x14ac:dyDescent="0.25">
      <c r="A84" s="23">
        <v>111067</v>
      </c>
      <c r="B84" s="23" t="s">
        <v>491</v>
      </c>
      <c r="C84" s="23" t="s">
        <v>422</v>
      </c>
      <c r="D84" s="23" t="s">
        <v>469</v>
      </c>
      <c r="E84" s="23" t="s">
        <v>763</v>
      </c>
      <c r="F84" s="23"/>
      <c r="G84" s="23"/>
      <c r="H84" s="33" t="s">
        <v>451</v>
      </c>
      <c r="I84" s="26" t="s">
        <v>97</v>
      </c>
      <c r="J84" s="83" t="s">
        <v>86</v>
      </c>
      <c r="K84" s="83" t="s">
        <v>86</v>
      </c>
      <c r="L84" s="83" t="s">
        <v>86</v>
      </c>
      <c r="M84" s="83" t="s">
        <v>86</v>
      </c>
      <c r="N84" s="83" t="s">
        <v>86</v>
      </c>
      <c r="O84" s="83" t="s">
        <v>86</v>
      </c>
      <c r="P84" s="83" t="s">
        <v>86</v>
      </c>
      <c r="Q84" s="32">
        <f t="shared" si="2"/>
        <v>20</v>
      </c>
      <c r="R84" s="26" t="s">
        <v>13</v>
      </c>
      <c r="S84" s="4" t="s">
        <v>113</v>
      </c>
      <c r="T84" s="4"/>
      <c r="U84" s="31"/>
      <c r="AB84" s="94"/>
    </row>
    <row r="85" spans="1:28" x14ac:dyDescent="0.25">
      <c r="A85" s="28">
        <v>111016</v>
      </c>
      <c r="B85" s="28" t="s">
        <v>654</v>
      </c>
      <c r="C85" s="28" t="s">
        <v>198</v>
      </c>
      <c r="D85" s="28" t="s">
        <v>648</v>
      </c>
      <c r="E85" s="28"/>
      <c r="F85" s="28" t="s">
        <v>649</v>
      </c>
      <c r="G85" s="28"/>
      <c r="H85" s="34" t="s">
        <v>650</v>
      </c>
      <c r="I85" s="31" t="s">
        <v>85</v>
      </c>
      <c r="J85" s="81" t="s">
        <v>86</v>
      </c>
      <c r="K85" s="81" t="s">
        <v>86</v>
      </c>
      <c r="L85" s="81" t="s">
        <v>86</v>
      </c>
      <c r="M85" s="81" t="s">
        <v>16</v>
      </c>
      <c r="N85" s="81" t="s">
        <v>86</v>
      </c>
      <c r="O85" s="81" t="s">
        <v>86</v>
      </c>
      <c r="P85" s="81" t="s">
        <v>86</v>
      </c>
      <c r="Q85" s="32">
        <f t="shared" si="2"/>
        <v>33</v>
      </c>
      <c r="R85" s="31" t="s">
        <v>90</v>
      </c>
      <c r="S85" s="4" t="s">
        <v>113</v>
      </c>
      <c r="T85" s="4"/>
      <c r="U85" s="31"/>
    </row>
    <row r="86" spans="1:28" x14ac:dyDescent="0.25">
      <c r="A86" s="23">
        <v>111024</v>
      </c>
      <c r="B86" s="23" t="s">
        <v>663</v>
      </c>
      <c r="C86" s="23" t="s">
        <v>664</v>
      </c>
      <c r="D86" s="23" t="s">
        <v>662</v>
      </c>
      <c r="E86" s="23"/>
      <c r="F86" s="23" t="s">
        <v>662</v>
      </c>
      <c r="G86" s="23"/>
      <c r="H86" s="34" t="s">
        <v>650</v>
      </c>
      <c r="I86" s="26" t="s">
        <v>85</v>
      </c>
      <c r="J86" s="83" t="s">
        <v>86</v>
      </c>
      <c r="K86" s="83" t="s">
        <v>86</v>
      </c>
      <c r="L86" s="83" t="s">
        <v>86</v>
      </c>
      <c r="M86" s="83" t="s">
        <v>86</v>
      </c>
      <c r="N86" s="83" t="s">
        <v>86</v>
      </c>
      <c r="O86" s="83" t="s">
        <v>86</v>
      </c>
      <c r="P86" s="83" t="s">
        <v>86</v>
      </c>
      <c r="Q86" s="32">
        <f t="shared" si="2"/>
        <v>20</v>
      </c>
      <c r="R86" s="26" t="s">
        <v>90</v>
      </c>
      <c r="S86" s="4" t="s">
        <v>113</v>
      </c>
      <c r="T86" s="4"/>
      <c r="U86" s="31"/>
    </row>
    <row r="87" spans="1:28" x14ac:dyDescent="0.25">
      <c r="A87" s="28">
        <v>111026</v>
      </c>
      <c r="B87" s="28" t="s">
        <v>666</v>
      </c>
      <c r="C87" s="28" t="s">
        <v>667</v>
      </c>
      <c r="D87" s="23" t="s">
        <v>665</v>
      </c>
      <c r="E87" s="23"/>
      <c r="F87" s="23" t="s">
        <v>665</v>
      </c>
      <c r="G87" s="23"/>
      <c r="H87" s="34" t="s">
        <v>650</v>
      </c>
      <c r="I87" s="26" t="s">
        <v>85</v>
      </c>
      <c r="J87" s="83" t="s">
        <v>86</v>
      </c>
      <c r="K87" s="83" t="s">
        <v>86</v>
      </c>
      <c r="L87" s="83" t="s">
        <v>86</v>
      </c>
      <c r="M87" s="83" t="s">
        <v>86</v>
      </c>
      <c r="N87" s="83" t="s">
        <v>86</v>
      </c>
      <c r="O87" s="83" t="s">
        <v>86</v>
      </c>
      <c r="P87" s="83" t="s">
        <v>16</v>
      </c>
      <c r="Q87" s="32">
        <f t="shared" si="2"/>
        <v>33</v>
      </c>
      <c r="R87" s="26" t="s">
        <v>13</v>
      </c>
      <c r="S87" s="4" t="s">
        <v>113</v>
      </c>
      <c r="T87" s="4"/>
      <c r="U87" s="31"/>
    </row>
    <row r="88" spans="1:28" x14ac:dyDescent="0.25">
      <c r="A88" s="28">
        <v>111058</v>
      </c>
      <c r="B88" s="28" t="s">
        <v>758</v>
      </c>
      <c r="C88" s="28" t="s">
        <v>759</v>
      </c>
      <c r="D88" s="28" t="s">
        <v>756</v>
      </c>
      <c r="E88" s="28"/>
      <c r="F88" s="28" t="s">
        <v>757</v>
      </c>
      <c r="G88" s="28"/>
      <c r="H88" s="34" t="s">
        <v>650</v>
      </c>
      <c r="I88" s="31" t="s">
        <v>85</v>
      </c>
      <c r="J88" s="81" t="s">
        <v>86</v>
      </c>
      <c r="K88" s="81" t="s">
        <v>86</v>
      </c>
      <c r="L88" s="81" t="s">
        <v>86</v>
      </c>
      <c r="M88" s="81" t="s">
        <v>86</v>
      </c>
      <c r="N88" s="81" t="s">
        <v>86</v>
      </c>
      <c r="O88" s="81" t="s">
        <v>86</v>
      </c>
      <c r="P88" s="81" t="s">
        <v>86</v>
      </c>
      <c r="Q88" s="32">
        <f t="shared" si="2"/>
        <v>20</v>
      </c>
      <c r="R88" s="31" t="s">
        <v>90</v>
      </c>
      <c r="S88" s="4" t="s">
        <v>113</v>
      </c>
      <c r="T88" s="4"/>
      <c r="U88" s="31"/>
    </row>
    <row r="89" spans="1:28" x14ac:dyDescent="0.25">
      <c r="A89" s="23">
        <v>112001</v>
      </c>
      <c r="B89" s="23" t="s">
        <v>766</v>
      </c>
      <c r="C89" s="23" t="s">
        <v>767</v>
      </c>
      <c r="D89" s="23" t="s">
        <v>768</v>
      </c>
      <c r="E89" s="23"/>
      <c r="F89" s="23" t="s">
        <v>769</v>
      </c>
      <c r="G89" s="23"/>
      <c r="H89" s="34" t="s">
        <v>650</v>
      </c>
      <c r="I89" s="26" t="s">
        <v>85</v>
      </c>
      <c r="J89" s="83"/>
      <c r="K89" s="83" t="s">
        <v>86</v>
      </c>
      <c r="L89" s="83" t="s">
        <v>86</v>
      </c>
      <c r="M89" s="83" t="s">
        <v>86</v>
      </c>
      <c r="N89" s="83" t="s">
        <v>86</v>
      </c>
      <c r="O89" s="83" t="s">
        <v>86</v>
      </c>
      <c r="P89" s="83" t="s">
        <v>86</v>
      </c>
      <c r="Q89" s="32">
        <f t="shared" si="2"/>
        <v>20</v>
      </c>
      <c r="R89" s="146" t="s">
        <v>90</v>
      </c>
      <c r="S89" s="4" t="s">
        <v>113</v>
      </c>
      <c r="T89" s="4"/>
      <c r="U89" s="31"/>
    </row>
    <row r="90" spans="1:28" x14ac:dyDescent="0.25">
      <c r="A90" s="28">
        <v>110797</v>
      </c>
      <c r="B90" s="29" t="s">
        <v>214</v>
      </c>
      <c r="C90" s="29" t="s">
        <v>215</v>
      </c>
      <c r="D90" s="29" t="s">
        <v>174</v>
      </c>
      <c r="E90" s="29" t="s">
        <v>175</v>
      </c>
      <c r="F90" s="29"/>
      <c r="G90" s="29"/>
      <c r="H90" s="34" t="s">
        <v>176</v>
      </c>
      <c r="I90" s="30" t="s">
        <v>86</v>
      </c>
      <c r="J90" s="30" t="s">
        <v>86</v>
      </c>
      <c r="K90" s="30" t="s">
        <v>86</v>
      </c>
      <c r="L90" s="30" t="s">
        <v>86</v>
      </c>
      <c r="M90" s="30" t="s">
        <v>16</v>
      </c>
      <c r="N90" s="30" t="s">
        <v>16</v>
      </c>
      <c r="O90" s="30" t="s">
        <v>86</v>
      </c>
      <c r="P90" s="30" t="s">
        <v>86</v>
      </c>
      <c r="Q90" s="32">
        <f t="shared" si="2"/>
        <v>31</v>
      </c>
      <c r="R90" s="31" t="s">
        <v>103</v>
      </c>
      <c r="S90" s="4" t="s">
        <v>113</v>
      </c>
      <c r="T90" s="4" t="s">
        <v>16</v>
      </c>
      <c r="U90" s="31" t="s">
        <v>321</v>
      </c>
    </row>
    <row r="91" spans="1:28" x14ac:dyDescent="0.25">
      <c r="A91" s="23">
        <v>110860</v>
      </c>
      <c r="B91" s="24" t="s">
        <v>346</v>
      </c>
      <c r="C91" s="24" t="s">
        <v>347</v>
      </c>
      <c r="D91" s="24" t="s">
        <v>294</v>
      </c>
      <c r="E91" s="24"/>
      <c r="F91" s="24" t="s">
        <v>295</v>
      </c>
      <c r="G91" s="24"/>
      <c r="H91" s="28" t="s">
        <v>296</v>
      </c>
      <c r="I91" s="25" t="s">
        <v>85</v>
      </c>
      <c r="J91" s="25" t="s">
        <v>86</v>
      </c>
      <c r="K91" s="25" t="s">
        <v>86</v>
      </c>
      <c r="L91" s="25" t="s">
        <v>86</v>
      </c>
      <c r="M91" s="25" t="s">
        <v>86</v>
      </c>
      <c r="N91" s="25" t="s">
        <v>86</v>
      </c>
      <c r="O91" s="25" t="s">
        <v>86</v>
      </c>
      <c r="P91" s="25" t="s">
        <v>86</v>
      </c>
      <c r="Q91" s="32">
        <f t="shared" si="2"/>
        <v>20</v>
      </c>
      <c r="R91" s="26" t="s">
        <v>13</v>
      </c>
      <c r="S91" s="4" t="s">
        <v>113</v>
      </c>
      <c r="T91" s="4"/>
      <c r="U91" s="31"/>
    </row>
    <row r="92" spans="1:28" x14ac:dyDescent="0.25">
      <c r="A92" s="28">
        <v>111006</v>
      </c>
      <c r="B92" s="28" t="s">
        <v>632</v>
      </c>
      <c r="C92" s="28" t="s">
        <v>493</v>
      </c>
      <c r="D92" s="28" t="s">
        <v>628</v>
      </c>
      <c r="E92" s="28"/>
      <c r="F92" s="28" t="s">
        <v>629</v>
      </c>
      <c r="G92" s="28"/>
      <c r="H92" s="28" t="s">
        <v>296</v>
      </c>
      <c r="I92" s="31" t="s">
        <v>85</v>
      </c>
      <c r="J92" s="81" t="s">
        <v>86</v>
      </c>
      <c r="K92" s="81" t="s">
        <v>86</v>
      </c>
      <c r="L92" s="81" t="s">
        <v>86</v>
      </c>
      <c r="M92" s="81" t="s">
        <v>86</v>
      </c>
      <c r="N92" s="81" t="s">
        <v>86</v>
      </c>
      <c r="O92" s="81" t="s">
        <v>86</v>
      </c>
      <c r="P92" s="81" t="s">
        <v>86</v>
      </c>
      <c r="Q92" s="32">
        <f t="shared" si="2"/>
        <v>20</v>
      </c>
      <c r="R92" s="31" t="s">
        <v>13</v>
      </c>
      <c r="S92" s="4" t="s">
        <v>113</v>
      </c>
      <c r="T92" s="4"/>
      <c r="U92" s="31"/>
    </row>
    <row r="93" spans="1:28" x14ac:dyDescent="0.25">
      <c r="A93" s="23">
        <v>111007</v>
      </c>
      <c r="B93" s="23" t="s">
        <v>627</v>
      </c>
      <c r="C93" s="23" t="s">
        <v>221</v>
      </c>
      <c r="D93" s="23" t="s">
        <v>615</v>
      </c>
      <c r="E93" s="23"/>
      <c r="F93" s="23" t="s">
        <v>615</v>
      </c>
      <c r="G93" s="23"/>
      <c r="H93" s="28" t="s">
        <v>296</v>
      </c>
      <c r="I93" s="26" t="s">
        <v>85</v>
      </c>
      <c r="J93" s="83" t="s">
        <v>16</v>
      </c>
      <c r="K93" s="83" t="s">
        <v>86</v>
      </c>
      <c r="L93" s="83" t="s">
        <v>86</v>
      </c>
      <c r="M93" s="83" t="s">
        <v>86</v>
      </c>
      <c r="N93" s="83" t="s">
        <v>86</v>
      </c>
      <c r="O93" s="83" t="s">
        <v>86</v>
      </c>
      <c r="P93" s="83" t="s">
        <v>86</v>
      </c>
      <c r="Q93" s="32">
        <f t="shared" si="2"/>
        <v>20</v>
      </c>
      <c r="R93" s="26" t="s">
        <v>13</v>
      </c>
      <c r="S93" s="4" t="s">
        <v>113</v>
      </c>
      <c r="T93" s="4"/>
      <c r="U93" s="31"/>
    </row>
    <row r="94" spans="1:28" x14ac:dyDescent="0.25">
      <c r="A94" s="23">
        <v>111008</v>
      </c>
      <c r="B94" s="23" t="s">
        <v>346</v>
      </c>
      <c r="C94" s="23" t="s">
        <v>625</v>
      </c>
      <c r="D94" s="23" t="s">
        <v>616</v>
      </c>
      <c r="E94" s="23"/>
      <c r="F94" s="23" t="s">
        <v>616</v>
      </c>
      <c r="G94" s="23"/>
      <c r="H94" s="23" t="s">
        <v>296</v>
      </c>
      <c r="I94" s="26" t="s">
        <v>85</v>
      </c>
      <c r="J94" s="83" t="s">
        <v>16</v>
      </c>
      <c r="K94" s="83" t="s">
        <v>86</v>
      </c>
      <c r="L94" s="83" t="s">
        <v>86</v>
      </c>
      <c r="M94" s="83" t="s">
        <v>86</v>
      </c>
      <c r="N94" s="83" t="s">
        <v>86</v>
      </c>
      <c r="O94" s="83" t="s">
        <v>86</v>
      </c>
      <c r="P94" s="83" t="s">
        <v>86</v>
      </c>
      <c r="Q94" s="32">
        <f t="shared" si="2"/>
        <v>20</v>
      </c>
      <c r="R94" s="26" t="s">
        <v>13</v>
      </c>
      <c r="S94" s="4" t="s">
        <v>113</v>
      </c>
      <c r="T94" s="4"/>
      <c r="U94" s="31"/>
      <c r="AB94" s="93"/>
    </row>
    <row r="95" spans="1:28" x14ac:dyDescent="0.25">
      <c r="A95" s="28">
        <v>111009</v>
      </c>
      <c r="B95" s="28" t="s">
        <v>633</v>
      </c>
      <c r="C95" s="28" t="s">
        <v>493</v>
      </c>
      <c r="D95" s="28" t="s">
        <v>630</v>
      </c>
      <c r="E95" s="64"/>
      <c r="F95" s="28" t="s">
        <v>631</v>
      </c>
      <c r="G95" s="28"/>
      <c r="H95" s="23" t="s">
        <v>296</v>
      </c>
      <c r="I95" s="31" t="s">
        <v>85</v>
      </c>
      <c r="J95" s="81" t="s">
        <v>16</v>
      </c>
      <c r="K95" s="81" t="s">
        <v>86</v>
      </c>
      <c r="L95" s="81" t="s">
        <v>86</v>
      </c>
      <c r="M95" s="81" t="s">
        <v>86</v>
      </c>
      <c r="N95" s="81" t="s">
        <v>86</v>
      </c>
      <c r="O95" s="81" t="s">
        <v>86</v>
      </c>
      <c r="P95" s="81" t="s">
        <v>86</v>
      </c>
      <c r="Q95" s="32">
        <f t="shared" si="2"/>
        <v>20</v>
      </c>
      <c r="R95" s="31" t="s">
        <v>13</v>
      </c>
      <c r="S95" s="4" t="s">
        <v>113</v>
      </c>
      <c r="T95" s="4"/>
      <c r="U95" s="31"/>
      <c r="AB95" s="94"/>
    </row>
    <row r="96" spans="1:28" x14ac:dyDescent="0.25">
      <c r="A96" s="23">
        <v>110863</v>
      </c>
      <c r="B96" s="23" t="s">
        <v>348</v>
      </c>
      <c r="C96" s="23" t="s">
        <v>349</v>
      </c>
      <c r="D96" s="23" t="s">
        <v>297</v>
      </c>
      <c r="E96" s="28"/>
      <c r="F96" s="23" t="s">
        <v>297</v>
      </c>
      <c r="G96" s="23"/>
      <c r="H96" s="33" t="s">
        <v>379</v>
      </c>
      <c r="I96" s="26" t="s">
        <v>85</v>
      </c>
      <c r="J96" s="26" t="s">
        <v>86</v>
      </c>
      <c r="K96" s="26" t="s">
        <v>86</v>
      </c>
      <c r="L96" s="26" t="s">
        <v>86</v>
      </c>
      <c r="M96" s="26" t="s">
        <v>86</v>
      </c>
      <c r="N96" s="26" t="s">
        <v>86</v>
      </c>
      <c r="O96" s="26" t="s">
        <v>86</v>
      </c>
      <c r="P96" s="26" t="s">
        <v>86</v>
      </c>
      <c r="Q96" s="32">
        <f t="shared" si="2"/>
        <v>20</v>
      </c>
      <c r="R96" s="26" t="s">
        <v>90</v>
      </c>
      <c r="S96" s="4" t="s">
        <v>87</v>
      </c>
      <c r="T96" s="4"/>
      <c r="U96" s="31"/>
      <c r="AB96" s="94"/>
    </row>
    <row r="97" spans="1:34" x14ac:dyDescent="0.25">
      <c r="A97" s="28">
        <v>110864</v>
      </c>
      <c r="B97" s="28" t="s">
        <v>377</v>
      </c>
      <c r="C97" s="28" t="s">
        <v>378</v>
      </c>
      <c r="D97" s="28" t="s">
        <v>375</v>
      </c>
      <c r="E97" s="28"/>
      <c r="F97" s="28" t="s">
        <v>376</v>
      </c>
      <c r="G97" s="28"/>
      <c r="H97" s="34" t="s">
        <v>379</v>
      </c>
      <c r="I97" s="31" t="s">
        <v>85</v>
      </c>
      <c r="J97" s="31" t="s">
        <v>86</v>
      </c>
      <c r="K97" s="31" t="s">
        <v>86</v>
      </c>
      <c r="L97" s="31" t="s">
        <v>86</v>
      </c>
      <c r="M97" s="31" t="s">
        <v>86</v>
      </c>
      <c r="N97" s="31" t="s">
        <v>86</v>
      </c>
      <c r="O97" s="31" t="s">
        <v>86</v>
      </c>
      <c r="P97" s="31" t="s">
        <v>86</v>
      </c>
      <c r="Q97" s="32">
        <f t="shared" si="2"/>
        <v>20</v>
      </c>
      <c r="R97" s="31" t="s">
        <v>13</v>
      </c>
      <c r="S97" s="4" t="s">
        <v>113</v>
      </c>
      <c r="T97" s="4"/>
      <c r="U97" s="31"/>
      <c r="AB97" s="94"/>
    </row>
    <row r="98" spans="1:34" x14ac:dyDescent="0.25">
      <c r="A98" s="23">
        <v>111003</v>
      </c>
      <c r="B98" s="23" t="s">
        <v>624</v>
      </c>
      <c r="C98" s="23" t="s">
        <v>625</v>
      </c>
      <c r="D98" s="23" t="s">
        <v>613</v>
      </c>
      <c r="E98" s="23"/>
      <c r="F98" s="23" t="s">
        <v>613</v>
      </c>
      <c r="G98" s="23"/>
      <c r="H98" s="34" t="s">
        <v>379</v>
      </c>
      <c r="I98" s="26" t="s">
        <v>85</v>
      </c>
      <c r="J98" s="83" t="s">
        <v>86</v>
      </c>
      <c r="K98" s="83" t="s">
        <v>86</v>
      </c>
      <c r="L98" s="83" t="s">
        <v>86</v>
      </c>
      <c r="M98" s="83" t="s">
        <v>86</v>
      </c>
      <c r="N98" s="83" t="s">
        <v>86</v>
      </c>
      <c r="O98" s="83" t="s">
        <v>86</v>
      </c>
      <c r="P98" s="83" t="s">
        <v>86</v>
      </c>
      <c r="Q98" s="32">
        <f t="shared" ref="Q98:Q129" si="3">IF(R98="Coupon",0,(20+IF(K98="X",13,0)+IF(L98="X",5,0)+IF(M98="X",13,0)+IF(N98="X",13,0)+IF(O98="X",5,0)+IF(P98="X",13,0)-IF(T98="x",15,0)))</f>
        <v>20</v>
      </c>
      <c r="R98" s="26" t="s">
        <v>90</v>
      </c>
      <c r="S98" s="4" t="s">
        <v>113</v>
      </c>
      <c r="T98" s="4"/>
      <c r="U98" s="31" t="s">
        <v>321</v>
      </c>
    </row>
    <row r="99" spans="1:34" x14ac:dyDescent="0.25">
      <c r="A99" s="23">
        <v>111004</v>
      </c>
      <c r="B99" s="23" t="s">
        <v>626</v>
      </c>
      <c r="C99" s="23" t="s">
        <v>198</v>
      </c>
      <c r="D99" s="23" t="s">
        <v>614</v>
      </c>
      <c r="E99" s="23"/>
      <c r="F99" s="23" t="s">
        <v>614</v>
      </c>
      <c r="G99" s="23"/>
      <c r="H99" s="34" t="s">
        <v>379</v>
      </c>
      <c r="I99" s="26" t="s">
        <v>85</v>
      </c>
      <c r="J99" s="83" t="s">
        <v>86</v>
      </c>
      <c r="K99" s="83" t="s">
        <v>86</v>
      </c>
      <c r="L99" s="83" t="s">
        <v>86</v>
      </c>
      <c r="M99" s="83" t="s">
        <v>86</v>
      </c>
      <c r="N99" s="83" t="s">
        <v>86</v>
      </c>
      <c r="O99" s="83" t="s">
        <v>86</v>
      </c>
      <c r="P99" s="83" t="s">
        <v>86</v>
      </c>
      <c r="Q99" s="32">
        <f t="shared" si="3"/>
        <v>20</v>
      </c>
      <c r="R99" s="26" t="s">
        <v>13</v>
      </c>
      <c r="S99" s="4" t="s">
        <v>113</v>
      </c>
      <c r="T99" s="4"/>
      <c r="U99" s="31" t="s">
        <v>321</v>
      </c>
    </row>
    <row r="100" spans="1:34" x14ac:dyDescent="0.25">
      <c r="A100" s="23">
        <v>111042</v>
      </c>
      <c r="B100" s="23" t="s">
        <v>731</v>
      </c>
      <c r="C100" s="23" t="s">
        <v>201</v>
      </c>
      <c r="D100" s="23" t="s">
        <v>710</v>
      </c>
      <c r="E100" s="23"/>
      <c r="F100" s="23" t="s">
        <v>711</v>
      </c>
      <c r="G100" s="23"/>
      <c r="H100" s="34" t="s">
        <v>379</v>
      </c>
      <c r="I100" s="26" t="s">
        <v>85</v>
      </c>
      <c r="J100" s="83" t="s">
        <v>86</v>
      </c>
      <c r="K100" s="83" t="s">
        <v>86</v>
      </c>
      <c r="L100" s="83" t="s">
        <v>86</v>
      </c>
      <c r="M100" s="83" t="s">
        <v>86</v>
      </c>
      <c r="N100" s="83" t="s">
        <v>86</v>
      </c>
      <c r="O100" s="83" t="s">
        <v>86</v>
      </c>
      <c r="P100" s="83" t="s">
        <v>86</v>
      </c>
      <c r="Q100" s="32">
        <f t="shared" si="3"/>
        <v>20</v>
      </c>
      <c r="R100" s="26" t="s">
        <v>13</v>
      </c>
      <c r="S100" s="4" t="s">
        <v>113</v>
      </c>
      <c r="T100" s="4"/>
      <c r="U100" s="31" t="s">
        <v>321</v>
      </c>
    </row>
    <row r="101" spans="1:34" x14ac:dyDescent="0.25">
      <c r="A101" s="28">
        <v>110940</v>
      </c>
      <c r="B101" s="28" t="s">
        <v>512</v>
      </c>
      <c r="C101" s="28" t="s">
        <v>339</v>
      </c>
      <c r="D101" s="28" t="s">
        <v>510</v>
      </c>
      <c r="E101" s="28"/>
      <c r="F101" s="28" t="s">
        <v>510</v>
      </c>
      <c r="G101" s="28"/>
      <c r="H101" s="34" t="s">
        <v>511</v>
      </c>
      <c r="I101" s="31" t="s">
        <v>85</v>
      </c>
      <c r="J101" s="31" t="s">
        <v>86</v>
      </c>
      <c r="K101" s="31" t="s">
        <v>86</v>
      </c>
      <c r="L101" s="31" t="s">
        <v>86</v>
      </c>
      <c r="M101" s="31" t="s">
        <v>86</v>
      </c>
      <c r="N101" s="31" t="s">
        <v>86</v>
      </c>
      <c r="O101" s="31" t="s">
        <v>86</v>
      </c>
      <c r="P101" s="31" t="s">
        <v>86</v>
      </c>
      <c r="Q101" s="32">
        <f t="shared" si="3"/>
        <v>5</v>
      </c>
      <c r="R101" s="31" t="s">
        <v>13</v>
      </c>
      <c r="S101" s="4" t="s">
        <v>113</v>
      </c>
      <c r="T101" s="4" t="s">
        <v>321</v>
      </c>
      <c r="U101" s="31"/>
    </row>
    <row r="102" spans="1:34" x14ac:dyDescent="0.25">
      <c r="A102" s="28">
        <v>111039</v>
      </c>
      <c r="B102" s="28" t="s">
        <v>729</v>
      </c>
      <c r="C102" s="28" t="s">
        <v>101</v>
      </c>
      <c r="D102" s="28" t="s">
        <v>708</v>
      </c>
      <c r="E102" s="28"/>
      <c r="F102" s="28" t="s">
        <v>708</v>
      </c>
      <c r="G102" s="145"/>
      <c r="H102" s="34" t="s">
        <v>511</v>
      </c>
      <c r="I102" s="31" t="s">
        <v>85</v>
      </c>
      <c r="J102" s="81" t="s">
        <v>86</v>
      </c>
      <c r="K102" s="81" t="s">
        <v>86</v>
      </c>
      <c r="L102" s="81" t="s">
        <v>86</v>
      </c>
      <c r="M102" s="81" t="s">
        <v>86</v>
      </c>
      <c r="N102" s="81" t="s">
        <v>86</v>
      </c>
      <c r="O102" s="81" t="s">
        <v>86</v>
      </c>
      <c r="P102" s="81" t="s">
        <v>86</v>
      </c>
      <c r="Q102" s="32">
        <f t="shared" si="3"/>
        <v>20</v>
      </c>
      <c r="R102" s="31" t="s">
        <v>13</v>
      </c>
      <c r="S102" s="4" t="s">
        <v>113</v>
      </c>
      <c r="T102" s="4"/>
      <c r="U102" s="31"/>
    </row>
    <row r="103" spans="1:34" x14ac:dyDescent="0.25">
      <c r="A103" s="23">
        <v>111041</v>
      </c>
      <c r="B103" s="23" t="s">
        <v>729</v>
      </c>
      <c r="C103" s="23" t="s">
        <v>730</v>
      </c>
      <c r="D103" s="23" t="s">
        <v>709</v>
      </c>
      <c r="E103" s="23"/>
      <c r="F103" s="23" t="s">
        <v>709</v>
      </c>
      <c r="G103" s="23"/>
      <c r="H103" s="33" t="s">
        <v>511</v>
      </c>
      <c r="I103" s="26" t="s">
        <v>85</v>
      </c>
      <c r="J103" s="83" t="s">
        <v>86</v>
      </c>
      <c r="K103" s="83" t="s">
        <v>86</v>
      </c>
      <c r="L103" s="83" t="s">
        <v>86</v>
      </c>
      <c r="M103" s="83" t="s">
        <v>86</v>
      </c>
      <c r="N103" s="83" t="s">
        <v>86</v>
      </c>
      <c r="O103" s="83" t="s">
        <v>86</v>
      </c>
      <c r="P103" s="83" t="s">
        <v>86</v>
      </c>
      <c r="Q103" s="32">
        <f t="shared" si="3"/>
        <v>20</v>
      </c>
      <c r="R103" s="26" t="s">
        <v>13</v>
      </c>
      <c r="S103" s="4" t="s">
        <v>113</v>
      </c>
      <c r="T103" s="4"/>
      <c r="U103" s="31"/>
    </row>
    <row r="104" spans="1:34" x14ac:dyDescent="0.25">
      <c r="A104" s="145">
        <v>112000</v>
      </c>
      <c r="B104" s="145" t="s">
        <v>764</v>
      </c>
      <c r="C104" s="145" t="s">
        <v>498</v>
      </c>
      <c r="D104" s="28" t="s">
        <v>765</v>
      </c>
      <c r="E104" s="28"/>
      <c r="F104" s="28" t="s">
        <v>765</v>
      </c>
      <c r="G104" s="145"/>
      <c r="H104" s="33" t="s">
        <v>511</v>
      </c>
      <c r="I104" s="148" t="s">
        <v>85</v>
      </c>
      <c r="J104" s="81" t="s">
        <v>86</v>
      </c>
      <c r="K104" s="81" t="s">
        <v>86</v>
      </c>
      <c r="L104" s="81" t="s">
        <v>86</v>
      </c>
      <c r="M104" s="81" t="s">
        <v>86</v>
      </c>
      <c r="N104" s="81" t="s">
        <v>86</v>
      </c>
      <c r="O104" s="81" t="s">
        <v>86</v>
      </c>
      <c r="P104" s="81" t="s">
        <v>86</v>
      </c>
      <c r="Q104" s="32">
        <f t="shared" si="3"/>
        <v>5</v>
      </c>
      <c r="R104" s="148" t="s">
        <v>90</v>
      </c>
      <c r="S104" s="147" t="s">
        <v>87</v>
      </c>
      <c r="T104" s="147" t="s">
        <v>321</v>
      </c>
      <c r="U104" s="148"/>
      <c r="V104" s="149"/>
      <c r="W104" s="149"/>
      <c r="X104" s="149"/>
      <c r="Y104" s="149"/>
      <c r="Z104" s="149"/>
      <c r="AA104" s="149"/>
      <c r="AB104" s="149"/>
      <c r="AC104" s="150"/>
      <c r="AD104" s="150"/>
      <c r="AE104" s="150"/>
      <c r="AF104" s="150"/>
      <c r="AG104" s="150"/>
      <c r="AH104" s="150"/>
    </row>
    <row r="105" spans="1:34" x14ac:dyDescent="0.25">
      <c r="A105" s="28">
        <v>110827</v>
      </c>
      <c r="B105" s="28" t="s">
        <v>263</v>
      </c>
      <c r="C105" s="28" t="s">
        <v>138</v>
      </c>
      <c r="D105" s="28" t="s">
        <v>260</v>
      </c>
      <c r="E105" s="28" t="s">
        <v>260</v>
      </c>
      <c r="F105" s="28"/>
      <c r="G105" s="28"/>
      <c r="H105" s="33" t="s">
        <v>257</v>
      </c>
      <c r="I105" s="31" t="s">
        <v>97</v>
      </c>
      <c r="J105" s="31" t="s">
        <v>86</v>
      </c>
      <c r="K105" s="31" t="s">
        <v>16</v>
      </c>
      <c r="L105" s="31" t="s">
        <v>16</v>
      </c>
      <c r="M105" s="31" t="s">
        <v>16</v>
      </c>
      <c r="N105" s="31" t="s">
        <v>86</v>
      </c>
      <c r="O105" s="31" t="s">
        <v>16</v>
      </c>
      <c r="P105" s="31" t="s">
        <v>86</v>
      </c>
      <c r="Q105" s="32">
        <f t="shared" si="3"/>
        <v>56</v>
      </c>
      <c r="R105" s="31" t="s">
        <v>90</v>
      </c>
      <c r="S105" s="4" t="s">
        <v>113</v>
      </c>
      <c r="T105" s="4"/>
      <c r="U105" s="31" t="s">
        <v>321</v>
      </c>
    </row>
    <row r="106" spans="1:34" x14ac:dyDescent="0.25">
      <c r="A106" s="28">
        <v>110837</v>
      </c>
      <c r="B106" s="28" t="s">
        <v>330</v>
      </c>
      <c r="C106" s="28" t="s">
        <v>331</v>
      </c>
      <c r="D106" s="28" t="s">
        <v>272</v>
      </c>
      <c r="E106" s="28" t="s">
        <v>272</v>
      </c>
      <c r="F106" s="28"/>
      <c r="G106" s="28"/>
      <c r="H106" s="33" t="s">
        <v>257</v>
      </c>
      <c r="I106" s="31" t="s">
        <v>97</v>
      </c>
      <c r="J106" s="31" t="s">
        <v>86</v>
      </c>
      <c r="K106" s="31" t="s">
        <v>86</v>
      </c>
      <c r="L106" s="31" t="s">
        <v>16</v>
      </c>
      <c r="M106" s="31" t="s">
        <v>16</v>
      </c>
      <c r="N106" s="31" t="s">
        <v>86</v>
      </c>
      <c r="O106" s="31" t="s">
        <v>16</v>
      </c>
      <c r="P106" s="31" t="s">
        <v>16</v>
      </c>
      <c r="Q106" s="32">
        <f t="shared" si="3"/>
        <v>41</v>
      </c>
      <c r="R106" s="31" t="s">
        <v>90</v>
      </c>
      <c r="S106" s="4" t="s">
        <v>113</v>
      </c>
      <c r="T106" s="4" t="s">
        <v>321</v>
      </c>
      <c r="U106" s="31" t="s">
        <v>321</v>
      </c>
    </row>
    <row r="107" spans="1:34" x14ac:dyDescent="0.25">
      <c r="A107" s="23">
        <v>110901</v>
      </c>
      <c r="B107" s="24" t="s">
        <v>427</v>
      </c>
      <c r="C107" s="24" t="s">
        <v>428</v>
      </c>
      <c r="D107" s="24" t="s">
        <v>425</v>
      </c>
      <c r="E107" s="24" t="s">
        <v>426</v>
      </c>
      <c r="F107" s="24"/>
      <c r="G107" s="24"/>
      <c r="H107" s="33" t="s">
        <v>257</v>
      </c>
      <c r="I107" s="25" t="s">
        <v>97</v>
      </c>
      <c r="J107" s="25" t="s">
        <v>86</v>
      </c>
      <c r="K107" s="25" t="s">
        <v>16</v>
      </c>
      <c r="L107" s="25" t="s">
        <v>86</v>
      </c>
      <c r="M107" s="25" t="s">
        <v>86</v>
      </c>
      <c r="N107" s="25" t="s">
        <v>16</v>
      </c>
      <c r="O107" s="25" t="s">
        <v>86</v>
      </c>
      <c r="P107" s="25" t="s">
        <v>86</v>
      </c>
      <c r="Q107" s="32">
        <f t="shared" si="3"/>
        <v>46</v>
      </c>
      <c r="R107" s="26" t="s">
        <v>13</v>
      </c>
      <c r="S107" s="4" t="s">
        <v>113</v>
      </c>
      <c r="T107" s="4"/>
      <c r="U107" s="31"/>
    </row>
    <row r="108" spans="1:34" x14ac:dyDescent="0.25">
      <c r="A108" s="28">
        <v>110902</v>
      </c>
      <c r="B108" s="28" t="s">
        <v>354</v>
      </c>
      <c r="C108" s="28" t="s">
        <v>655</v>
      </c>
      <c r="D108" s="28" t="s">
        <v>656</v>
      </c>
      <c r="E108" s="28"/>
      <c r="F108" s="28" t="s">
        <v>657</v>
      </c>
      <c r="G108" s="28"/>
      <c r="H108" s="34" t="s">
        <v>257</v>
      </c>
      <c r="I108" s="31" t="s">
        <v>97</v>
      </c>
      <c r="J108" s="81" t="s">
        <v>86</v>
      </c>
      <c r="K108" s="81" t="s">
        <v>16</v>
      </c>
      <c r="L108" s="81" t="s">
        <v>86</v>
      </c>
      <c r="M108" s="81" t="s">
        <v>86</v>
      </c>
      <c r="N108" s="81" t="s">
        <v>86</v>
      </c>
      <c r="O108" s="81" t="s">
        <v>86</v>
      </c>
      <c r="P108" s="81" t="s">
        <v>86</v>
      </c>
      <c r="Q108" s="32">
        <f t="shared" si="3"/>
        <v>33</v>
      </c>
      <c r="R108" s="31" t="s">
        <v>13</v>
      </c>
      <c r="S108" s="4" t="s">
        <v>113</v>
      </c>
      <c r="T108" s="4"/>
      <c r="U108" s="31" t="s">
        <v>321</v>
      </c>
    </row>
    <row r="109" spans="1:34" x14ac:dyDescent="0.25">
      <c r="A109" s="23">
        <v>111028</v>
      </c>
      <c r="B109" s="23" t="s">
        <v>674</v>
      </c>
      <c r="C109" s="23" t="s">
        <v>558</v>
      </c>
      <c r="D109" s="23" t="s">
        <v>668</v>
      </c>
      <c r="E109" s="23" t="s">
        <v>669</v>
      </c>
      <c r="F109" s="23"/>
      <c r="G109" s="23"/>
      <c r="H109" s="33" t="s">
        <v>257</v>
      </c>
      <c r="I109" s="26" t="s">
        <v>97</v>
      </c>
      <c r="J109" s="83" t="s">
        <v>86</v>
      </c>
      <c r="K109" s="83" t="s">
        <v>86</v>
      </c>
      <c r="L109" s="83" t="s">
        <v>16</v>
      </c>
      <c r="M109" s="83" t="s">
        <v>16</v>
      </c>
      <c r="N109" s="83" t="s">
        <v>16</v>
      </c>
      <c r="O109" s="83" t="s">
        <v>16</v>
      </c>
      <c r="P109" s="83" t="s">
        <v>16</v>
      </c>
      <c r="Q109" s="32">
        <f t="shared" si="3"/>
        <v>69</v>
      </c>
      <c r="R109" s="26" t="s">
        <v>90</v>
      </c>
      <c r="S109" s="4" t="s">
        <v>113</v>
      </c>
      <c r="T109" s="4"/>
      <c r="U109" s="31"/>
      <c r="AB109" s="94"/>
    </row>
    <row r="110" spans="1:34" x14ac:dyDescent="0.25">
      <c r="A110" s="28">
        <v>111048</v>
      </c>
      <c r="B110" s="28" t="s">
        <v>734</v>
      </c>
      <c r="C110" s="28" t="s">
        <v>625</v>
      </c>
      <c r="D110" s="28" t="s">
        <v>715</v>
      </c>
      <c r="E110" s="28" t="s">
        <v>715</v>
      </c>
      <c r="F110" s="28"/>
      <c r="G110" s="28"/>
      <c r="H110" s="34" t="s">
        <v>257</v>
      </c>
      <c r="I110" s="31" t="s">
        <v>86</v>
      </c>
      <c r="J110" s="81" t="s">
        <v>86</v>
      </c>
      <c r="K110" s="81" t="s">
        <v>86</v>
      </c>
      <c r="L110" s="81" t="s">
        <v>86</v>
      </c>
      <c r="M110" s="81" t="s">
        <v>86</v>
      </c>
      <c r="N110" s="81" t="s">
        <v>86</v>
      </c>
      <c r="O110" s="81" t="s">
        <v>86</v>
      </c>
      <c r="P110" s="81" t="s">
        <v>86</v>
      </c>
      <c r="Q110" s="32">
        <f t="shared" si="3"/>
        <v>5</v>
      </c>
      <c r="R110" s="31" t="s">
        <v>90</v>
      </c>
      <c r="S110" s="4" t="s">
        <v>113</v>
      </c>
      <c r="T110" s="4" t="s">
        <v>321</v>
      </c>
      <c r="U110" s="31"/>
    </row>
    <row r="111" spans="1:34" x14ac:dyDescent="0.25">
      <c r="A111" s="23">
        <v>112003</v>
      </c>
      <c r="B111" s="23" t="s">
        <v>773</v>
      </c>
      <c r="C111" s="23" t="s">
        <v>774</v>
      </c>
      <c r="D111" s="23" t="s">
        <v>775</v>
      </c>
      <c r="E111" s="23"/>
      <c r="F111" s="23"/>
      <c r="G111" s="23"/>
      <c r="H111" s="33" t="s">
        <v>257</v>
      </c>
      <c r="I111" s="26" t="s">
        <v>86</v>
      </c>
      <c r="J111" s="83" t="s">
        <v>86</v>
      </c>
      <c r="K111" s="83" t="s">
        <v>86</v>
      </c>
      <c r="L111" s="83" t="s">
        <v>86</v>
      </c>
      <c r="M111" s="83" t="s">
        <v>86</v>
      </c>
      <c r="N111" s="83" t="s">
        <v>86</v>
      </c>
      <c r="O111" s="83" t="s">
        <v>86</v>
      </c>
      <c r="P111" s="83" t="s">
        <v>86</v>
      </c>
      <c r="Q111" s="32">
        <v>20</v>
      </c>
      <c r="R111" s="26" t="s">
        <v>90</v>
      </c>
      <c r="S111" s="4" t="s">
        <v>113</v>
      </c>
      <c r="T111" s="4"/>
      <c r="U111" s="31" t="s">
        <v>321</v>
      </c>
    </row>
    <row r="112" spans="1:34" x14ac:dyDescent="0.25">
      <c r="A112" s="28">
        <v>110841</v>
      </c>
      <c r="B112" s="29" t="s">
        <v>334</v>
      </c>
      <c r="C112" s="29" t="s">
        <v>335</v>
      </c>
      <c r="D112" s="29" t="s">
        <v>278</v>
      </c>
      <c r="E112" s="29" t="s">
        <v>279</v>
      </c>
      <c r="F112" s="29"/>
      <c r="G112" s="29"/>
      <c r="H112" s="23" t="s">
        <v>442</v>
      </c>
      <c r="I112" s="30" t="s">
        <v>97</v>
      </c>
      <c r="J112" s="30" t="s">
        <v>86</v>
      </c>
      <c r="K112" s="30" t="s">
        <v>86</v>
      </c>
      <c r="L112" s="30" t="s">
        <v>86</v>
      </c>
      <c r="M112" s="30" t="s">
        <v>86</v>
      </c>
      <c r="N112" s="30" t="s">
        <v>86</v>
      </c>
      <c r="O112" s="30" t="s">
        <v>86</v>
      </c>
      <c r="P112" s="30" t="s">
        <v>86</v>
      </c>
      <c r="Q112" s="32">
        <f t="shared" ref="Q112:Q126" si="4">IF(R112="Coupon",0,(20+IF(K112="X",13,0)+IF(L112="X",5,0)+IF(M112="X",13,0)+IF(N112="X",13,0)+IF(O112="X",5,0)+IF(P112="X",13,0)-IF(T112="x",15,0)))</f>
        <v>20</v>
      </c>
      <c r="R112" s="31" t="s">
        <v>90</v>
      </c>
      <c r="S112" s="4" t="s">
        <v>113</v>
      </c>
      <c r="T112" s="4"/>
      <c r="U112" s="31"/>
    </row>
    <row r="113" spans="1:34" x14ac:dyDescent="0.25">
      <c r="A113" s="23">
        <v>110889</v>
      </c>
      <c r="B113" s="23" t="s">
        <v>395</v>
      </c>
      <c r="C113" s="23" t="s">
        <v>396</v>
      </c>
      <c r="D113" s="23" t="s">
        <v>387</v>
      </c>
      <c r="E113" s="23" t="s">
        <v>388</v>
      </c>
      <c r="F113" s="23" t="s">
        <v>389</v>
      </c>
      <c r="G113" s="23" t="s">
        <v>390</v>
      </c>
      <c r="H113" s="23" t="s">
        <v>442</v>
      </c>
      <c r="I113" s="26" t="s">
        <v>97</v>
      </c>
      <c r="J113" s="26" t="s">
        <v>86</v>
      </c>
      <c r="K113" s="26" t="s">
        <v>86</v>
      </c>
      <c r="L113" s="26" t="s">
        <v>86</v>
      </c>
      <c r="M113" s="26" t="s">
        <v>86</v>
      </c>
      <c r="N113" s="26" t="s">
        <v>86</v>
      </c>
      <c r="O113" s="26" t="s">
        <v>86</v>
      </c>
      <c r="P113" s="26" t="s">
        <v>86</v>
      </c>
      <c r="Q113" s="32">
        <f t="shared" si="4"/>
        <v>20</v>
      </c>
      <c r="R113" s="26" t="s">
        <v>90</v>
      </c>
      <c r="S113" s="4" t="s">
        <v>113</v>
      </c>
      <c r="T113" s="4"/>
      <c r="U113" s="31"/>
    </row>
    <row r="114" spans="1:34" x14ac:dyDescent="0.25">
      <c r="A114" s="28">
        <v>110890</v>
      </c>
      <c r="B114" s="23" t="s">
        <v>397</v>
      </c>
      <c r="C114" s="23" t="s">
        <v>219</v>
      </c>
      <c r="D114" s="28" t="s">
        <v>391</v>
      </c>
      <c r="E114" s="28" t="s">
        <v>392</v>
      </c>
      <c r="F114" s="28"/>
      <c r="G114" s="28"/>
      <c r="H114" s="23" t="s">
        <v>442</v>
      </c>
      <c r="I114" s="31" t="s">
        <v>97</v>
      </c>
      <c r="J114" s="31" t="s">
        <v>86</v>
      </c>
      <c r="K114" s="31" t="s">
        <v>16</v>
      </c>
      <c r="L114" s="31" t="s">
        <v>86</v>
      </c>
      <c r="M114" s="31" t="s">
        <v>86</v>
      </c>
      <c r="N114" s="31" t="s">
        <v>86</v>
      </c>
      <c r="O114" s="31" t="s">
        <v>86</v>
      </c>
      <c r="P114" s="31" t="s">
        <v>86</v>
      </c>
      <c r="Q114" s="32">
        <f t="shared" si="4"/>
        <v>33</v>
      </c>
      <c r="R114" s="31" t="s">
        <v>13</v>
      </c>
      <c r="S114" s="4" t="s">
        <v>113</v>
      </c>
      <c r="T114" s="4"/>
      <c r="U114" s="31"/>
      <c r="AB114" s="94"/>
    </row>
    <row r="115" spans="1:34" x14ac:dyDescent="0.25">
      <c r="A115" s="23">
        <v>110989</v>
      </c>
      <c r="B115" s="23" t="s">
        <v>601</v>
      </c>
      <c r="C115" s="23" t="s">
        <v>602</v>
      </c>
      <c r="D115" s="23" t="s">
        <v>599</v>
      </c>
      <c r="E115" s="23" t="s">
        <v>600</v>
      </c>
      <c r="F115" s="23"/>
      <c r="G115" s="33"/>
      <c r="H115" s="23" t="s">
        <v>442</v>
      </c>
      <c r="I115" s="26" t="s">
        <v>97</v>
      </c>
      <c r="J115" s="26" t="s">
        <v>86</v>
      </c>
      <c r="K115" s="26" t="s">
        <v>86</v>
      </c>
      <c r="L115" s="26" t="s">
        <v>86</v>
      </c>
      <c r="M115" s="26" t="s">
        <v>86</v>
      </c>
      <c r="N115" s="26" t="s">
        <v>86</v>
      </c>
      <c r="O115" s="26" t="s">
        <v>86</v>
      </c>
      <c r="P115" s="26" t="s">
        <v>86</v>
      </c>
      <c r="Q115" s="32">
        <f t="shared" si="4"/>
        <v>20</v>
      </c>
      <c r="R115" s="26" t="s">
        <v>13</v>
      </c>
      <c r="S115" s="4" t="s">
        <v>113</v>
      </c>
      <c r="T115" s="4"/>
      <c r="U115" s="31"/>
    </row>
    <row r="116" spans="1:34" x14ac:dyDescent="0.25">
      <c r="A116" s="28">
        <v>111025</v>
      </c>
      <c r="B116" s="28" t="s">
        <v>497</v>
      </c>
      <c r="C116" s="28" t="s">
        <v>498</v>
      </c>
      <c r="D116" s="28" t="s">
        <v>499</v>
      </c>
      <c r="E116" s="28" t="s">
        <v>500</v>
      </c>
      <c r="F116" s="28"/>
      <c r="G116" s="28"/>
      <c r="H116" s="28" t="s">
        <v>442</v>
      </c>
      <c r="I116" s="31" t="s">
        <v>97</v>
      </c>
      <c r="J116" s="81" t="s">
        <v>86</v>
      </c>
      <c r="K116" s="81" t="s">
        <v>86</v>
      </c>
      <c r="L116" s="81" t="s">
        <v>86</v>
      </c>
      <c r="M116" s="81" t="s">
        <v>86</v>
      </c>
      <c r="N116" s="81" t="s">
        <v>86</v>
      </c>
      <c r="O116" s="81" t="s">
        <v>86</v>
      </c>
      <c r="P116" s="81" t="s">
        <v>86</v>
      </c>
      <c r="Q116" s="32">
        <f t="shared" si="4"/>
        <v>20</v>
      </c>
      <c r="R116" s="31" t="s">
        <v>13</v>
      </c>
      <c r="S116" s="4" t="s">
        <v>113</v>
      </c>
      <c r="T116" s="4"/>
      <c r="U116" s="31"/>
    </row>
    <row r="117" spans="1:34" x14ac:dyDescent="0.25">
      <c r="A117" s="23">
        <v>110910</v>
      </c>
      <c r="B117" s="23" t="s">
        <v>446</v>
      </c>
      <c r="C117" s="23" t="s">
        <v>345</v>
      </c>
      <c r="D117" s="23" t="s">
        <v>443</v>
      </c>
      <c r="E117" s="23"/>
      <c r="F117" s="23"/>
      <c r="G117" s="23" t="s">
        <v>444</v>
      </c>
      <c r="H117" s="34" t="s">
        <v>445</v>
      </c>
      <c r="I117" s="26" t="s">
        <v>109</v>
      </c>
      <c r="J117" s="26" t="s">
        <v>86</v>
      </c>
      <c r="K117" s="26" t="s">
        <v>86</v>
      </c>
      <c r="L117" s="26" t="s">
        <v>86</v>
      </c>
      <c r="M117" s="26" t="s">
        <v>86</v>
      </c>
      <c r="N117" s="26" t="s">
        <v>86</v>
      </c>
      <c r="O117" s="26" t="s">
        <v>86</v>
      </c>
      <c r="P117" s="26" t="s">
        <v>86</v>
      </c>
      <c r="Q117" s="32">
        <f t="shared" si="4"/>
        <v>20</v>
      </c>
      <c r="R117" s="26" t="s">
        <v>13</v>
      </c>
      <c r="S117" s="4" t="s">
        <v>113</v>
      </c>
      <c r="T117" s="4"/>
      <c r="U117" s="31"/>
    </row>
    <row r="118" spans="1:34" x14ac:dyDescent="0.25">
      <c r="A118" s="28">
        <v>110777</v>
      </c>
      <c r="B118" s="29" t="s">
        <v>210</v>
      </c>
      <c r="C118" s="29" t="s">
        <v>212</v>
      </c>
      <c r="D118" s="29" t="s">
        <v>149</v>
      </c>
      <c r="E118" s="29" t="s">
        <v>150</v>
      </c>
      <c r="F118" s="29"/>
      <c r="G118" s="29" t="s">
        <v>151</v>
      </c>
      <c r="H118" s="28" t="s">
        <v>527</v>
      </c>
      <c r="I118" s="30" t="s">
        <v>109</v>
      </c>
      <c r="J118" s="30" t="s">
        <v>86</v>
      </c>
      <c r="K118" s="30" t="s">
        <v>86</v>
      </c>
      <c r="L118" s="30" t="s">
        <v>86</v>
      </c>
      <c r="M118" s="30" t="s">
        <v>86</v>
      </c>
      <c r="N118" s="30" t="s">
        <v>16</v>
      </c>
      <c r="O118" s="30" t="s">
        <v>86</v>
      </c>
      <c r="P118" s="30" t="s">
        <v>86</v>
      </c>
      <c r="Q118" s="32">
        <f t="shared" si="4"/>
        <v>33</v>
      </c>
      <c r="R118" s="31" t="s">
        <v>13</v>
      </c>
      <c r="S118" s="4" t="s">
        <v>113</v>
      </c>
      <c r="T118" s="4"/>
      <c r="U118" s="31"/>
      <c r="AB118" s="35"/>
      <c r="AC118" s="21"/>
      <c r="AD118" s="21"/>
      <c r="AE118" s="21"/>
      <c r="AF118" s="21"/>
      <c r="AG118" s="21"/>
      <c r="AH118" s="21"/>
    </row>
    <row r="119" spans="1:34" x14ac:dyDescent="0.25">
      <c r="A119" s="23">
        <v>110945</v>
      </c>
      <c r="B119" s="23" t="s">
        <v>540</v>
      </c>
      <c r="C119" s="23" t="s">
        <v>541</v>
      </c>
      <c r="D119" s="23" t="s">
        <v>525</v>
      </c>
      <c r="E119" s="23"/>
      <c r="F119" s="23"/>
      <c r="G119" s="23" t="s">
        <v>526</v>
      </c>
      <c r="H119" s="34" t="s">
        <v>527</v>
      </c>
      <c r="I119" s="26" t="s">
        <v>86</v>
      </c>
      <c r="J119" s="26" t="s">
        <v>86</v>
      </c>
      <c r="K119" s="26" t="s">
        <v>86</v>
      </c>
      <c r="L119" s="26" t="s">
        <v>86</v>
      </c>
      <c r="M119" s="26" t="s">
        <v>86</v>
      </c>
      <c r="N119" s="26" t="s">
        <v>86</v>
      </c>
      <c r="O119" s="26" t="s">
        <v>86</v>
      </c>
      <c r="P119" s="26" t="s">
        <v>86</v>
      </c>
      <c r="Q119" s="32">
        <f t="shared" si="4"/>
        <v>20</v>
      </c>
      <c r="R119" s="26" t="s">
        <v>13</v>
      </c>
      <c r="S119" s="4" t="s">
        <v>113</v>
      </c>
      <c r="T119" s="4"/>
      <c r="U119" s="31"/>
    </row>
    <row r="120" spans="1:34" x14ac:dyDescent="0.25">
      <c r="A120" s="28">
        <v>110814</v>
      </c>
      <c r="B120" s="28" t="s">
        <v>251</v>
      </c>
      <c r="C120" s="28" t="s">
        <v>252</v>
      </c>
      <c r="D120" s="28" t="s">
        <v>238</v>
      </c>
      <c r="E120" s="28"/>
      <c r="F120" s="28" t="s">
        <v>239</v>
      </c>
      <c r="G120" s="28"/>
      <c r="H120" s="34" t="s">
        <v>240</v>
      </c>
      <c r="I120" s="31" t="s">
        <v>85</v>
      </c>
      <c r="J120" s="31" t="s">
        <v>86</v>
      </c>
      <c r="K120" s="31" t="s">
        <v>86</v>
      </c>
      <c r="L120" s="31" t="s">
        <v>86</v>
      </c>
      <c r="M120" s="31" t="s">
        <v>16</v>
      </c>
      <c r="N120" s="31" t="s">
        <v>86</v>
      </c>
      <c r="O120" s="31" t="s">
        <v>86</v>
      </c>
      <c r="P120" s="31" t="s">
        <v>16</v>
      </c>
      <c r="Q120" s="32">
        <f t="shared" si="4"/>
        <v>46</v>
      </c>
      <c r="R120" s="31" t="s">
        <v>13</v>
      </c>
      <c r="S120" s="4" t="s">
        <v>113</v>
      </c>
      <c r="T120" s="4"/>
      <c r="U120" s="31" t="s">
        <v>321</v>
      </c>
    </row>
    <row r="121" spans="1:34" x14ac:dyDescent="0.25">
      <c r="A121" s="23">
        <v>110820</v>
      </c>
      <c r="B121" s="23" t="s">
        <v>255</v>
      </c>
      <c r="C121" s="23" t="s">
        <v>256</v>
      </c>
      <c r="D121" s="23" t="s">
        <v>249</v>
      </c>
      <c r="E121" s="23"/>
      <c r="F121" s="23" t="s">
        <v>250</v>
      </c>
      <c r="G121" s="23"/>
      <c r="H121" s="33" t="s">
        <v>240</v>
      </c>
      <c r="I121" s="26" t="s">
        <v>85</v>
      </c>
      <c r="J121" s="26" t="s">
        <v>86</v>
      </c>
      <c r="K121" s="26" t="s">
        <v>86</v>
      </c>
      <c r="L121" s="26" t="s">
        <v>86</v>
      </c>
      <c r="M121" s="26" t="s">
        <v>16</v>
      </c>
      <c r="N121" s="26" t="s">
        <v>86</v>
      </c>
      <c r="O121" s="26" t="s">
        <v>16</v>
      </c>
      <c r="P121" s="26" t="s">
        <v>16</v>
      </c>
      <c r="Q121" s="32">
        <f t="shared" si="4"/>
        <v>51</v>
      </c>
      <c r="R121" s="26" t="s">
        <v>13</v>
      </c>
      <c r="S121" s="4" t="s">
        <v>113</v>
      </c>
      <c r="T121" s="4"/>
      <c r="U121" s="31" t="s">
        <v>321</v>
      </c>
    </row>
    <row r="122" spans="1:34" x14ac:dyDescent="0.25">
      <c r="A122" s="23">
        <v>110829</v>
      </c>
      <c r="B122" s="24" t="s">
        <v>270</v>
      </c>
      <c r="C122" s="24" t="s">
        <v>271</v>
      </c>
      <c r="D122" s="23" t="s">
        <v>264</v>
      </c>
      <c r="E122" s="23"/>
      <c r="F122" s="23" t="s">
        <v>264</v>
      </c>
      <c r="G122" s="23" t="s">
        <v>265</v>
      </c>
      <c r="H122" s="33" t="s">
        <v>240</v>
      </c>
      <c r="I122" s="26" t="s">
        <v>85</v>
      </c>
      <c r="J122" s="26" t="s">
        <v>86</v>
      </c>
      <c r="K122" s="26" t="s">
        <v>86</v>
      </c>
      <c r="L122" s="26" t="s">
        <v>86</v>
      </c>
      <c r="M122" s="26" t="s">
        <v>86</v>
      </c>
      <c r="N122" s="26" t="s">
        <v>86</v>
      </c>
      <c r="O122" s="26" t="s">
        <v>86</v>
      </c>
      <c r="P122" s="26" t="s">
        <v>86</v>
      </c>
      <c r="Q122" s="32">
        <f t="shared" si="4"/>
        <v>20</v>
      </c>
      <c r="R122" s="26" t="s">
        <v>90</v>
      </c>
      <c r="S122" s="4" t="s">
        <v>113</v>
      </c>
      <c r="T122" s="4"/>
      <c r="U122" s="31"/>
    </row>
    <row r="123" spans="1:34" x14ac:dyDescent="0.25">
      <c r="A123" s="28">
        <v>110966</v>
      </c>
      <c r="B123" s="28" t="s">
        <v>580</v>
      </c>
      <c r="C123" s="28" t="s">
        <v>581</v>
      </c>
      <c r="D123" s="28" t="s">
        <v>561</v>
      </c>
      <c r="E123" s="28" t="s">
        <v>562</v>
      </c>
      <c r="F123" s="28" t="s">
        <v>561</v>
      </c>
      <c r="G123" s="28" t="s">
        <v>563</v>
      </c>
      <c r="H123" s="33" t="s">
        <v>240</v>
      </c>
      <c r="I123" s="31" t="s">
        <v>85</v>
      </c>
      <c r="J123" s="31" t="s">
        <v>86</v>
      </c>
      <c r="K123" s="31" t="s">
        <v>86</v>
      </c>
      <c r="L123" s="31" t="s">
        <v>86</v>
      </c>
      <c r="M123" s="31" t="s">
        <v>86</v>
      </c>
      <c r="N123" s="31" t="s">
        <v>86</v>
      </c>
      <c r="O123" s="31" t="s">
        <v>86</v>
      </c>
      <c r="P123" s="31" t="s">
        <v>86</v>
      </c>
      <c r="Q123" s="32">
        <f t="shared" si="4"/>
        <v>20</v>
      </c>
      <c r="R123" s="31" t="s">
        <v>13</v>
      </c>
      <c r="S123" s="4" t="s">
        <v>113</v>
      </c>
      <c r="T123" s="4"/>
      <c r="U123" s="31" t="s">
        <v>321</v>
      </c>
    </row>
    <row r="124" spans="1:34" x14ac:dyDescent="0.25">
      <c r="A124" s="23">
        <v>110977</v>
      </c>
      <c r="B124" s="24" t="s">
        <v>251</v>
      </c>
      <c r="C124" s="24" t="s">
        <v>252</v>
      </c>
      <c r="D124" s="24" t="s">
        <v>573</v>
      </c>
      <c r="E124" s="24"/>
      <c r="F124" s="24" t="s">
        <v>574</v>
      </c>
      <c r="G124" s="24"/>
      <c r="H124" s="33" t="s">
        <v>240</v>
      </c>
      <c r="I124" s="25" t="s">
        <v>85</v>
      </c>
      <c r="J124" s="25" t="s">
        <v>86</v>
      </c>
      <c r="K124" s="25" t="s">
        <v>86</v>
      </c>
      <c r="L124" s="25" t="s">
        <v>86</v>
      </c>
      <c r="M124" s="25" t="s">
        <v>86</v>
      </c>
      <c r="N124" s="25" t="s">
        <v>86</v>
      </c>
      <c r="O124" s="25" t="s">
        <v>86</v>
      </c>
      <c r="P124" s="25" t="s">
        <v>86</v>
      </c>
      <c r="Q124" s="32">
        <f t="shared" si="4"/>
        <v>20</v>
      </c>
      <c r="R124" s="26" t="s">
        <v>13</v>
      </c>
      <c r="S124" s="4" t="s">
        <v>113</v>
      </c>
      <c r="T124" s="4"/>
      <c r="U124" s="31" t="s">
        <v>321</v>
      </c>
    </row>
    <row r="125" spans="1:34" x14ac:dyDescent="0.25">
      <c r="A125" s="28">
        <v>110904</v>
      </c>
      <c r="B125" s="29" t="s">
        <v>439</v>
      </c>
      <c r="C125" s="29" t="s">
        <v>440</v>
      </c>
      <c r="D125" s="29" t="s">
        <v>432</v>
      </c>
      <c r="E125" s="29" t="s">
        <v>433</v>
      </c>
      <c r="F125" s="29"/>
      <c r="G125" s="29"/>
      <c r="H125" s="23" t="s">
        <v>434</v>
      </c>
      <c r="I125" s="30" t="s">
        <v>97</v>
      </c>
      <c r="J125" s="30" t="s">
        <v>86</v>
      </c>
      <c r="K125" s="30" t="s">
        <v>86</v>
      </c>
      <c r="L125" s="30" t="s">
        <v>86</v>
      </c>
      <c r="M125" s="30" t="s">
        <v>86</v>
      </c>
      <c r="N125" s="30" t="s">
        <v>16</v>
      </c>
      <c r="O125" s="30" t="s">
        <v>86</v>
      </c>
      <c r="P125" s="30" t="s">
        <v>86</v>
      </c>
      <c r="Q125" s="32">
        <f t="shared" si="4"/>
        <v>33</v>
      </c>
      <c r="R125" s="31" t="s">
        <v>90</v>
      </c>
      <c r="S125" s="4" t="s">
        <v>87</v>
      </c>
      <c r="T125" s="4"/>
      <c r="U125" s="31"/>
    </row>
    <row r="126" spans="1:34" x14ac:dyDescent="0.25">
      <c r="A126" s="23">
        <v>110905</v>
      </c>
      <c r="B126" s="23" t="s">
        <v>441</v>
      </c>
      <c r="C126" s="23" t="s">
        <v>408</v>
      </c>
      <c r="D126" s="23" t="s">
        <v>435</v>
      </c>
      <c r="E126" s="23" t="s">
        <v>436</v>
      </c>
      <c r="F126" s="23"/>
      <c r="G126" s="23"/>
      <c r="H126" s="23" t="s">
        <v>434</v>
      </c>
      <c r="I126" s="26" t="s">
        <v>97</v>
      </c>
      <c r="J126" s="26" t="s">
        <v>86</v>
      </c>
      <c r="K126" s="26" t="s">
        <v>86</v>
      </c>
      <c r="L126" s="26" t="s">
        <v>86</v>
      </c>
      <c r="M126" s="26" t="s">
        <v>16</v>
      </c>
      <c r="N126" s="26" t="s">
        <v>86</v>
      </c>
      <c r="O126" s="26" t="s">
        <v>86</v>
      </c>
      <c r="P126" s="26" t="s">
        <v>16</v>
      </c>
      <c r="Q126" s="32">
        <f t="shared" si="4"/>
        <v>46</v>
      </c>
      <c r="R126" s="26" t="s">
        <v>13</v>
      </c>
      <c r="S126" s="4" t="s">
        <v>113</v>
      </c>
      <c r="T126" s="4"/>
      <c r="U126" s="31" t="s">
        <v>321</v>
      </c>
    </row>
    <row r="127" spans="1:34" x14ac:dyDescent="0.25">
      <c r="A127" s="23">
        <v>110933</v>
      </c>
      <c r="B127" s="23" t="s">
        <v>492</v>
      </c>
      <c r="C127" s="23" t="s">
        <v>493</v>
      </c>
      <c r="D127" s="23" t="s">
        <v>470</v>
      </c>
      <c r="E127" s="23">
        <v>7.65611980216232E+16</v>
      </c>
      <c r="F127" s="23"/>
      <c r="G127" s="23"/>
      <c r="H127" s="23" t="s">
        <v>434</v>
      </c>
      <c r="I127" s="26" t="s">
        <v>97</v>
      </c>
      <c r="J127" s="26" t="s">
        <v>86</v>
      </c>
      <c r="K127" s="26" t="s">
        <v>86</v>
      </c>
      <c r="L127" s="26" t="s">
        <v>86</v>
      </c>
      <c r="M127" s="26" t="s">
        <v>86</v>
      </c>
      <c r="N127" s="26" t="s">
        <v>86</v>
      </c>
      <c r="O127" s="26" t="s">
        <v>86</v>
      </c>
      <c r="P127" s="26" t="s">
        <v>86</v>
      </c>
      <c r="Q127" s="32">
        <v>0</v>
      </c>
      <c r="R127" s="26" t="s">
        <v>112</v>
      </c>
      <c r="S127" s="4" t="s">
        <v>113</v>
      </c>
      <c r="T127" s="4"/>
      <c r="U127" s="31"/>
    </row>
    <row r="128" spans="1:34" x14ac:dyDescent="0.25">
      <c r="A128" s="23">
        <v>110959</v>
      </c>
      <c r="B128" s="24" t="s">
        <v>439</v>
      </c>
      <c r="C128" s="24" t="s">
        <v>440</v>
      </c>
      <c r="D128" s="24" t="s">
        <v>554</v>
      </c>
      <c r="E128" s="24" t="s">
        <v>555</v>
      </c>
      <c r="F128" s="24"/>
      <c r="G128" s="24"/>
      <c r="H128" s="23" t="s">
        <v>434</v>
      </c>
      <c r="I128" s="25" t="s">
        <v>97</v>
      </c>
      <c r="J128" s="25" t="s">
        <v>86</v>
      </c>
      <c r="K128" s="25" t="s">
        <v>86</v>
      </c>
      <c r="L128" s="25" t="s">
        <v>86</v>
      </c>
      <c r="M128" s="25" t="s">
        <v>86</v>
      </c>
      <c r="N128" s="25" t="s">
        <v>16</v>
      </c>
      <c r="O128" s="25" t="s">
        <v>86</v>
      </c>
      <c r="P128" s="25" t="s">
        <v>86</v>
      </c>
      <c r="Q128" s="32">
        <f t="shared" ref="Q128:Q159" si="5">IF(R128="Coupon",0,(20+IF(K128="X",13,0)+IF(L128="X",5,0)+IF(M128="X",13,0)+IF(N128="X",13,0)+IF(O128="X",5,0)+IF(P128="X",13,0)-IF(T128="x",15,0)))</f>
        <v>33</v>
      </c>
      <c r="R128" s="26" t="s">
        <v>13</v>
      </c>
      <c r="S128" s="4" t="s">
        <v>113</v>
      </c>
      <c r="T128" s="4"/>
      <c r="U128" s="31"/>
    </row>
    <row r="129" spans="1:34" x14ac:dyDescent="0.25">
      <c r="A129" s="23">
        <v>110979</v>
      </c>
      <c r="B129" s="24" t="s">
        <v>492</v>
      </c>
      <c r="C129" s="24" t="s">
        <v>588</v>
      </c>
      <c r="D129" s="24" t="s">
        <v>577</v>
      </c>
      <c r="E129" s="24" t="s">
        <v>578</v>
      </c>
      <c r="F129" s="24"/>
      <c r="G129" s="24"/>
      <c r="H129" s="23" t="s">
        <v>434</v>
      </c>
      <c r="I129" s="25" t="s">
        <v>97</v>
      </c>
      <c r="J129" s="25" t="s">
        <v>86</v>
      </c>
      <c r="K129" s="25" t="s">
        <v>86</v>
      </c>
      <c r="L129" s="25" t="s">
        <v>86</v>
      </c>
      <c r="M129" s="25" t="s">
        <v>86</v>
      </c>
      <c r="N129" s="25" t="s">
        <v>86</v>
      </c>
      <c r="O129" s="25" t="s">
        <v>86</v>
      </c>
      <c r="P129" s="25" t="s">
        <v>86</v>
      </c>
      <c r="Q129" s="32">
        <f t="shared" si="5"/>
        <v>20</v>
      </c>
      <c r="R129" s="26" t="s">
        <v>90</v>
      </c>
      <c r="S129" s="4" t="s">
        <v>87</v>
      </c>
      <c r="T129" s="4"/>
      <c r="U129" s="31"/>
      <c r="AB129" s="94"/>
    </row>
    <row r="130" spans="1:34" x14ac:dyDescent="0.25">
      <c r="A130" s="23">
        <v>110803</v>
      </c>
      <c r="B130" s="24" t="s">
        <v>222</v>
      </c>
      <c r="C130" s="24" t="s">
        <v>223</v>
      </c>
      <c r="D130" s="24" t="s">
        <v>184</v>
      </c>
      <c r="E130" s="24"/>
      <c r="F130" s="24" t="s">
        <v>184</v>
      </c>
      <c r="G130" s="24"/>
      <c r="H130" s="33" t="s">
        <v>185</v>
      </c>
      <c r="I130" s="25" t="s">
        <v>85</v>
      </c>
      <c r="J130" s="25" t="s">
        <v>86</v>
      </c>
      <c r="K130" s="25" t="s">
        <v>86</v>
      </c>
      <c r="L130" s="25" t="s">
        <v>86</v>
      </c>
      <c r="M130" s="25" t="s">
        <v>16</v>
      </c>
      <c r="N130" s="25" t="s">
        <v>86</v>
      </c>
      <c r="O130" s="25" t="s">
        <v>86</v>
      </c>
      <c r="P130" s="25" t="s">
        <v>86</v>
      </c>
      <c r="Q130" s="32">
        <f t="shared" si="5"/>
        <v>33</v>
      </c>
      <c r="R130" s="26" t="s">
        <v>90</v>
      </c>
      <c r="S130" s="4" t="s">
        <v>87</v>
      </c>
      <c r="T130" s="4"/>
      <c r="U130" s="31"/>
    </row>
    <row r="131" spans="1:34" x14ac:dyDescent="0.25">
      <c r="A131" s="23">
        <v>110804</v>
      </c>
      <c r="B131" s="23" t="s">
        <v>224</v>
      </c>
      <c r="C131" s="23" t="s">
        <v>225</v>
      </c>
      <c r="D131" s="23" t="s">
        <v>186</v>
      </c>
      <c r="E131" s="23"/>
      <c r="F131" s="23" t="s">
        <v>187</v>
      </c>
      <c r="G131" s="23"/>
      <c r="H131" s="33" t="s">
        <v>185</v>
      </c>
      <c r="I131" s="26" t="s">
        <v>85</v>
      </c>
      <c r="J131" s="26" t="s">
        <v>86</v>
      </c>
      <c r="K131" s="26" t="s">
        <v>86</v>
      </c>
      <c r="L131" s="26" t="s">
        <v>86</v>
      </c>
      <c r="M131" s="26" t="s">
        <v>86</v>
      </c>
      <c r="N131" s="26" t="s">
        <v>86</v>
      </c>
      <c r="O131" s="26" t="s">
        <v>86</v>
      </c>
      <c r="P131" s="26" t="s">
        <v>86</v>
      </c>
      <c r="Q131" s="32">
        <f t="shared" si="5"/>
        <v>20</v>
      </c>
      <c r="R131" s="26" t="s">
        <v>13</v>
      </c>
      <c r="S131" s="4" t="s">
        <v>113</v>
      </c>
      <c r="T131" s="4"/>
      <c r="U131" s="31"/>
    </row>
    <row r="132" spans="1:34" x14ac:dyDescent="0.25">
      <c r="A132" s="23">
        <v>110805</v>
      </c>
      <c r="B132" s="24" t="s">
        <v>93</v>
      </c>
      <c r="C132" s="24" t="s">
        <v>94</v>
      </c>
      <c r="D132" s="24" t="s">
        <v>88</v>
      </c>
      <c r="E132" s="24"/>
      <c r="F132" s="24" t="s">
        <v>88</v>
      </c>
      <c r="G132" s="24"/>
      <c r="H132" s="33" t="s">
        <v>185</v>
      </c>
      <c r="I132" s="25" t="s">
        <v>85</v>
      </c>
      <c r="J132" s="25" t="s">
        <v>86</v>
      </c>
      <c r="K132" s="25" t="s">
        <v>86</v>
      </c>
      <c r="L132" s="25" t="s">
        <v>86</v>
      </c>
      <c r="M132" s="25" t="s">
        <v>16</v>
      </c>
      <c r="N132" s="25" t="s">
        <v>86</v>
      </c>
      <c r="O132" s="25" t="s">
        <v>86</v>
      </c>
      <c r="P132" s="25" t="s">
        <v>86</v>
      </c>
      <c r="Q132" s="32">
        <f t="shared" si="5"/>
        <v>33</v>
      </c>
      <c r="R132" s="26" t="s">
        <v>90</v>
      </c>
      <c r="S132" s="4" t="s">
        <v>113</v>
      </c>
      <c r="T132" s="4"/>
      <c r="U132" s="31"/>
    </row>
    <row r="133" spans="1:34" x14ac:dyDescent="0.25">
      <c r="A133" s="23">
        <v>110806</v>
      </c>
      <c r="B133" s="23" t="s">
        <v>226</v>
      </c>
      <c r="C133" s="23" t="s">
        <v>227</v>
      </c>
      <c r="D133" s="23" t="s">
        <v>188</v>
      </c>
      <c r="E133" s="23"/>
      <c r="F133" s="23" t="s">
        <v>188</v>
      </c>
      <c r="G133" s="23"/>
      <c r="H133" s="33" t="s">
        <v>185</v>
      </c>
      <c r="I133" s="26" t="s">
        <v>85</v>
      </c>
      <c r="J133" s="26" t="s">
        <v>86</v>
      </c>
      <c r="K133" s="26" t="s">
        <v>86</v>
      </c>
      <c r="L133" s="26" t="s">
        <v>86</v>
      </c>
      <c r="M133" s="26" t="s">
        <v>86</v>
      </c>
      <c r="N133" s="65" t="s">
        <v>86</v>
      </c>
      <c r="O133" s="65" t="s">
        <v>86</v>
      </c>
      <c r="P133" s="65" t="s">
        <v>86</v>
      </c>
      <c r="Q133" s="32">
        <f t="shared" si="5"/>
        <v>20</v>
      </c>
      <c r="R133" s="26" t="s">
        <v>90</v>
      </c>
      <c r="S133" s="4" t="s">
        <v>87</v>
      </c>
      <c r="T133" s="4"/>
      <c r="U133" s="31"/>
      <c r="AB133" s="94"/>
    </row>
    <row r="134" spans="1:34" x14ac:dyDescent="0.25">
      <c r="A134" s="23">
        <v>110808</v>
      </c>
      <c r="B134" s="23" t="s">
        <v>230</v>
      </c>
      <c r="C134" s="23" t="s">
        <v>140</v>
      </c>
      <c r="D134" s="23" t="s">
        <v>191</v>
      </c>
      <c r="E134" s="23"/>
      <c r="F134" s="23" t="s">
        <v>191</v>
      </c>
      <c r="G134" s="23"/>
      <c r="H134" s="33" t="s">
        <v>185</v>
      </c>
      <c r="I134" s="26" t="s">
        <v>85</v>
      </c>
      <c r="J134" s="26" t="s">
        <v>86</v>
      </c>
      <c r="K134" s="26" t="s">
        <v>16</v>
      </c>
      <c r="L134" s="26" t="s">
        <v>86</v>
      </c>
      <c r="M134" s="26" t="s">
        <v>86</v>
      </c>
      <c r="N134" s="26" t="s">
        <v>86</v>
      </c>
      <c r="O134" s="26" t="s">
        <v>86</v>
      </c>
      <c r="P134" s="26" t="s">
        <v>86</v>
      </c>
      <c r="Q134" s="32">
        <f t="shared" si="5"/>
        <v>33</v>
      </c>
      <c r="R134" s="26" t="s">
        <v>90</v>
      </c>
      <c r="S134" s="4" t="s">
        <v>113</v>
      </c>
      <c r="T134" s="4"/>
      <c r="U134" s="31"/>
      <c r="AB134" s="94"/>
    </row>
    <row r="135" spans="1:34" x14ac:dyDescent="0.25">
      <c r="A135" s="23">
        <v>110913</v>
      </c>
      <c r="B135" s="24" t="s">
        <v>475</v>
      </c>
      <c r="C135" s="24" t="s">
        <v>476</v>
      </c>
      <c r="D135" s="24" t="s">
        <v>452</v>
      </c>
      <c r="E135" s="24" t="s">
        <v>453</v>
      </c>
      <c r="F135" s="24"/>
      <c r="G135" s="24"/>
      <c r="H135" s="23" t="s">
        <v>454</v>
      </c>
      <c r="I135" s="25" t="s">
        <v>97</v>
      </c>
      <c r="J135" s="25" t="s">
        <v>86</v>
      </c>
      <c r="K135" s="25" t="s">
        <v>86</v>
      </c>
      <c r="L135" s="25" t="s">
        <v>86</v>
      </c>
      <c r="M135" s="25" t="s">
        <v>86</v>
      </c>
      <c r="N135" s="25" t="s">
        <v>86</v>
      </c>
      <c r="O135" s="25" t="s">
        <v>86</v>
      </c>
      <c r="P135" s="25" t="s">
        <v>86</v>
      </c>
      <c r="Q135" s="32">
        <f t="shared" si="5"/>
        <v>20</v>
      </c>
      <c r="R135" s="26" t="s">
        <v>13</v>
      </c>
      <c r="S135" s="4" t="s">
        <v>113</v>
      </c>
      <c r="T135" s="4"/>
      <c r="U135" s="31" t="s">
        <v>321</v>
      </c>
    </row>
    <row r="136" spans="1:34" x14ac:dyDescent="0.25">
      <c r="A136" s="23">
        <v>110926</v>
      </c>
      <c r="B136" s="23" t="s">
        <v>486</v>
      </c>
      <c r="C136" s="23" t="s">
        <v>487</v>
      </c>
      <c r="D136" s="23" t="s">
        <v>464</v>
      </c>
      <c r="E136" s="23" t="s">
        <v>464</v>
      </c>
      <c r="F136" s="23"/>
      <c r="G136" s="23"/>
      <c r="H136" s="23" t="s">
        <v>454</v>
      </c>
      <c r="I136" s="26" t="s">
        <v>97</v>
      </c>
      <c r="J136" s="26" t="s">
        <v>86</v>
      </c>
      <c r="K136" s="26" t="s">
        <v>86</v>
      </c>
      <c r="L136" s="26" t="s">
        <v>86</v>
      </c>
      <c r="M136" s="26" t="s">
        <v>86</v>
      </c>
      <c r="N136" s="26" t="s">
        <v>86</v>
      </c>
      <c r="O136" s="26" t="s">
        <v>86</v>
      </c>
      <c r="P136" s="26" t="s">
        <v>86</v>
      </c>
      <c r="Q136" s="32">
        <f t="shared" si="5"/>
        <v>20</v>
      </c>
      <c r="R136" s="26" t="s">
        <v>90</v>
      </c>
      <c r="S136" s="4" t="s">
        <v>113</v>
      </c>
      <c r="T136" s="4"/>
      <c r="U136" s="31" t="s">
        <v>321</v>
      </c>
    </row>
    <row r="137" spans="1:34" x14ac:dyDescent="0.25">
      <c r="A137" s="23">
        <v>110928</v>
      </c>
      <c r="B137" s="23" t="s">
        <v>490</v>
      </c>
      <c r="C137" s="23" t="s">
        <v>258</v>
      </c>
      <c r="D137" s="23" t="s">
        <v>467</v>
      </c>
      <c r="E137" s="23" t="s">
        <v>468</v>
      </c>
      <c r="F137" s="23"/>
      <c r="G137" s="23"/>
      <c r="H137" s="23" t="s">
        <v>454</v>
      </c>
      <c r="I137" s="26" t="s">
        <v>97</v>
      </c>
      <c r="J137" s="26" t="s">
        <v>86</v>
      </c>
      <c r="K137" s="26" t="s">
        <v>86</v>
      </c>
      <c r="L137" s="26" t="s">
        <v>86</v>
      </c>
      <c r="M137" s="26" t="s">
        <v>86</v>
      </c>
      <c r="N137" s="26" t="s">
        <v>86</v>
      </c>
      <c r="O137" s="26" t="s">
        <v>86</v>
      </c>
      <c r="P137" s="26" t="s">
        <v>86</v>
      </c>
      <c r="Q137" s="32">
        <f t="shared" si="5"/>
        <v>20</v>
      </c>
      <c r="R137" s="26" t="s">
        <v>90</v>
      </c>
      <c r="S137" s="4" t="s">
        <v>113</v>
      </c>
      <c r="T137" s="4"/>
      <c r="U137" s="31" t="s">
        <v>321</v>
      </c>
      <c r="AB137" s="94"/>
    </row>
    <row r="138" spans="1:34" x14ac:dyDescent="0.25">
      <c r="A138" s="23">
        <v>110934</v>
      </c>
      <c r="B138" s="23" t="s">
        <v>496</v>
      </c>
      <c r="C138" s="23" t="s">
        <v>256</v>
      </c>
      <c r="D138" s="23" t="s">
        <v>494</v>
      </c>
      <c r="E138" s="23" t="s">
        <v>495</v>
      </c>
      <c r="F138" s="23"/>
      <c r="G138" s="23"/>
      <c r="H138" s="23" t="s">
        <v>454</v>
      </c>
      <c r="I138" s="26" t="s">
        <v>97</v>
      </c>
      <c r="J138" s="26" t="s">
        <v>86</v>
      </c>
      <c r="K138" s="26" t="s">
        <v>86</v>
      </c>
      <c r="L138" s="83" t="s">
        <v>86</v>
      </c>
      <c r="M138" s="83" t="s">
        <v>86</v>
      </c>
      <c r="N138" s="83" t="s">
        <v>86</v>
      </c>
      <c r="O138" s="83" t="s">
        <v>86</v>
      </c>
      <c r="P138" s="83" t="s">
        <v>86</v>
      </c>
      <c r="Q138" s="32">
        <f t="shared" si="5"/>
        <v>20</v>
      </c>
      <c r="R138" s="26" t="s">
        <v>90</v>
      </c>
      <c r="S138" s="4" t="s">
        <v>113</v>
      </c>
      <c r="T138" s="4"/>
      <c r="U138" s="31"/>
      <c r="AB138" s="35"/>
      <c r="AC138" s="21"/>
      <c r="AD138" s="21"/>
      <c r="AE138" s="21"/>
      <c r="AF138" s="21"/>
      <c r="AG138" s="21"/>
      <c r="AH138" s="21"/>
    </row>
    <row r="139" spans="1:34" x14ac:dyDescent="0.25">
      <c r="A139" s="23">
        <v>110975</v>
      </c>
      <c r="B139" s="23" t="s">
        <v>586</v>
      </c>
      <c r="C139" s="23" t="s">
        <v>331</v>
      </c>
      <c r="D139" s="23" t="s">
        <v>331</v>
      </c>
      <c r="E139" s="23" t="s">
        <v>572</v>
      </c>
      <c r="F139" s="23"/>
      <c r="G139" s="23"/>
      <c r="H139" s="23" t="s">
        <v>454</v>
      </c>
      <c r="I139" s="26" t="s">
        <v>97</v>
      </c>
      <c r="J139" s="26" t="s">
        <v>86</v>
      </c>
      <c r="K139" s="26" t="s">
        <v>86</v>
      </c>
      <c r="L139" s="26" t="s">
        <v>86</v>
      </c>
      <c r="M139" s="26" t="s">
        <v>86</v>
      </c>
      <c r="N139" s="26" t="s">
        <v>86</v>
      </c>
      <c r="O139" s="26" t="s">
        <v>86</v>
      </c>
      <c r="P139" s="26" t="s">
        <v>86</v>
      </c>
      <c r="Q139" s="32">
        <f t="shared" si="5"/>
        <v>20</v>
      </c>
      <c r="R139" s="26" t="s">
        <v>90</v>
      </c>
      <c r="S139" s="4" t="s">
        <v>113</v>
      </c>
      <c r="T139" s="4"/>
      <c r="U139" s="31" t="s">
        <v>321</v>
      </c>
      <c r="AB139" s="94"/>
    </row>
    <row r="140" spans="1:34" x14ac:dyDescent="0.25">
      <c r="A140" s="23">
        <v>110994</v>
      </c>
      <c r="B140" s="23" t="s">
        <v>619</v>
      </c>
      <c r="C140" s="23" t="s">
        <v>198</v>
      </c>
      <c r="D140" s="23" t="s">
        <v>607</v>
      </c>
      <c r="E140" s="23" t="s">
        <v>608</v>
      </c>
      <c r="F140" s="23"/>
      <c r="G140" s="23"/>
      <c r="H140" s="23" t="s">
        <v>454</v>
      </c>
      <c r="I140" s="26" t="s">
        <v>97</v>
      </c>
      <c r="J140" s="83" t="s">
        <v>16</v>
      </c>
      <c r="K140" s="83" t="s">
        <v>86</v>
      </c>
      <c r="L140" s="83" t="s">
        <v>86</v>
      </c>
      <c r="M140" s="83" t="s">
        <v>86</v>
      </c>
      <c r="N140" s="83" t="s">
        <v>86</v>
      </c>
      <c r="O140" s="83" t="s">
        <v>86</v>
      </c>
      <c r="P140" s="83" t="s">
        <v>86</v>
      </c>
      <c r="Q140" s="32">
        <f t="shared" si="5"/>
        <v>20</v>
      </c>
      <c r="R140" s="26" t="s">
        <v>13</v>
      </c>
      <c r="S140" s="4" t="s">
        <v>113</v>
      </c>
      <c r="T140" s="4"/>
      <c r="U140" s="31" t="s">
        <v>321</v>
      </c>
    </row>
    <row r="141" spans="1:34" x14ac:dyDescent="0.25">
      <c r="A141" s="23">
        <v>110747</v>
      </c>
      <c r="B141" s="24" t="s">
        <v>100</v>
      </c>
      <c r="C141" s="24" t="s">
        <v>101</v>
      </c>
      <c r="D141" s="24" t="s">
        <v>95</v>
      </c>
      <c r="E141" s="153" t="s">
        <v>102</v>
      </c>
      <c r="F141" s="24"/>
      <c r="G141" s="24"/>
      <c r="H141" s="23" t="s">
        <v>383</v>
      </c>
      <c r="I141" s="25" t="s">
        <v>97</v>
      </c>
      <c r="J141" s="25" t="s">
        <v>86</v>
      </c>
      <c r="K141" s="25" t="s">
        <v>86</v>
      </c>
      <c r="L141" s="25" t="s">
        <v>86</v>
      </c>
      <c r="M141" s="25" t="s">
        <v>86</v>
      </c>
      <c r="N141" s="25" t="s">
        <v>86</v>
      </c>
      <c r="O141" s="25" t="s">
        <v>86</v>
      </c>
      <c r="P141" s="25" t="s">
        <v>86</v>
      </c>
      <c r="Q141" s="32">
        <f t="shared" si="5"/>
        <v>5</v>
      </c>
      <c r="R141" s="26" t="s">
        <v>103</v>
      </c>
      <c r="S141" s="4" t="s">
        <v>113</v>
      </c>
      <c r="T141" s="4" t="s">
        <v>16</v>
      </c>
      <c r="U141" s="31" t="s">
        <v>321</v>
      </c>
    </row>
    <row r="142" spans="1:34" x14ac:dyDescent="0.25">
      <c r="A142" s="23">
        <v>110748</v>
      </c>
      <c r="B142" s="23" t="s">
        <v>98</v>
      </c>
      <c r="C142" s="23" t="s">
        <v>99</v>
      </c>
      <c r="D142" s="23" t="s">
        <v>96</v>
      </c>
      <c r="E142" s="23" t="s">
        <v>96</v>
      </c>
      <c r="F142" s="23"/>
      <c r="G142" s="23"/>
      <c r="H142" s="23" t="s">
        <v>383</v>
      </c>
      <c r="I142" s="26" t="s">
        <v>97</v>
      </c>
      <c r="J142" s="26" t="s">
        <v>86</v>
      </c>
      <c r="K142" s="26" t="s">
        <v>86</v>
      </c>
      <c r="L142" s="26" t="s">
        <v>86</v>
      </c>
      <c r="M142" s="26" t="s">
        <v>86</v>
      </c>
      <c r="N142" s="26" t="s">
        <v>86</v>
      </c>
      <c r="O142" s="26" t="s">
        <v>86</v>
      </c>
      <c r="P142" s="26" t="s">
        <v>86</v>
      </c>
      <c r="Q142" s="32">
        <f t="shared" si="5"/>
        <v>5</v>
      </c>
      <c r="R142" s="26" t="s">
        <v>103</v>
      </c>
      <c r="S142" s="4" t="s">
        <v>113</v>
      </c>
      <c r="T142" s="4" t="s">
        <v>16</v>
      </c>
      <c r="U142" s="31" t="s">
        <v>321</v>
      </c>
      <c r="AB142" s="35"/>
      <c r="AC142" s="21"/>
      <c r="AD142" s="21"/>
      <c r="AE142" s="21"/>
      <c r="AF142" s="21"/>
      <c r="AG142" s="21"/>
      <c r="AH142" s="21"/>
    </row>
    <row r="143" spans="1:34" x14ac:dyDescent="0.25">
      <c r="A143" s="23">
        <v>110898</v>
      </c>
      <c r="B143" s="23" t="s">
        <v>411</v>
      </c>
      <c r="C143" s="23" t="s">
        <v>412</v>
      </c>
      <c r="D143" s="23" t="s">
        <v>409</v>
      </c>
      <c r="E143" s="23" t="s">
        <v>410</v>
      </c>
      <c r="F143" s="23"/>
      <c r="G143" s="23"/>
      <c r="H143" s="23" t="s">
        <v>383</v>
      </c>
      <c r="I143" s="26" t="s">
        <v>97</v>
      </c>
      <c r="J143" s="26" t="s">
        <v>86</v>
      </c>
      <c r="K143" s="26" t="s">
        <v>86</v>
      </c>
      <c r="L143" s="26" t="s">
        <v>86</v>
      </c>
      <c r="M143" s="26" t="s">
        <v>86</v>
      </c>
      <c r="N143" s="26" t="s">
        <v>86</v>
      </c>
      <c r="O143" s="26" t="s">
        <v>86</v>
      </c>
      <c r="P143" s="26" t="s">
        <v>86</v>
      </c>
      <c r="Q143" s="32">
        <f t="shared" si="5"/>
        <v>20</v>
      </c>
      <c r="R143" s="26" t="s">
        <v>13</v>
      </c>
      <c r="S143" s="4" t="s">
        <v>113</v>
      </c>
      <c r="T143" s="4"/>
      <c r="U143" s="31" t="s">
        <v>321</v>
      </c>
    </row>
    <row r="144" spans="1:34" x14ac:dyDescent="0.25">
      <c r="A144" s="23">
        <v>110899</v>
      </c>
      <c r="B144" s="24" t="s">
        <v>417</v>
      </c>
      <c r="C144" s="24" t="s">
        <v>418</v>
      </c>
      <c r="D144" s="24" t="s">
        <v>413</v>
      </c>
      <c r="E144" s="24" t="s">
        <v>414</v>
      </c>
      <c r="F144" s="24"/>
      <c r="G144" s="24"/>
      <c r="H144" s="23" t="s">
        <v>383</v>
      </c>
      <c r="I144" s="25" t="s">
        <v>97</v>
      </c>
      <c r="J144" s="25" t="s">
        <v>86</v>
      </c>
      <c r="K144" s="25" t="s">
        <v>86</v>
      </c>
      <c r="L144" s="25" t="s">
        <v>86</v>
      </c>
      <c r="M144" s="25" t="s">
        <v>86</v>
      </c>
      <c r="N144" s="25" t="s">
        <v>86</v>
      </c>
      <c r="O144" s="25" t="s">
        <v>86</v>
      </c>
      <c r="P144" s="25" t="s">
        <v>86</v>
      </c>
      <c r="Q144" s="27">
        <f t="shared" si="5"/>
        <v>20</v>
      </c>
      <c r="R144" s="26" t="s">
        <v>13</v>
      </c>
      <c r="S144" s="4" t="s">
        <v>113</v>
      </c>
      <c r="T144" s="4"/>
      <c r="U144" s="31" t="s">
        <v>321</v>
      </c>
    </row>
    <row r="145" spans="1:34" x14ac:dyDescent="0.25">
      <c r="A145" s="23">
        <v>110943</v>
      </c>
      <c r="B145" s="23" t="s">
        <v>521</v>
      </c>
      <c r="C145" s="23" t="s">
        <v>522</v>
      </c>
      <c r="D145" s="23" t="s">
        <v>518</v>
      </c>
      <c r="E145" s="23" t="s">
        <v>519</v>
      </c>
      <c r="F145" s="23"/>
      <c r="G145" s="23"/>
      <c r="H145" s="23" t="s">
        <v>383</v>
      </c>
      <c r="I145" s="26" t="s">
        <v>97</v>
      </c>
      <c r="J145" s="26" t="s">
        <v>86</v>
      </c>
      <c r="K145" s="26" t="s">
        <v>86</v>
      </c>
      <c r="L145" s="26" t="s">
        <v>86</v>
      </c>
      <c r="M145" s="26" t="s">
        <v>86</v>
      </c>
      <c r="N145" s="26" t="s">
        <v>86</v>
      </c>
      <c r="O145" s="26" t="s">
        <v>86</v>
      </c>
      <c r="P145" s="26" t="s">
        <v>86</v>
      </c>
      <c r="Q145" s="27">
        <f t="shared" si="5"/>
        <v>20</v>
      </c>
      <c r="R145" s="26" t="s">
        <v>90</v>
      </c>
      <c r="S145" s="4" t="s">
        <v>113</v>
      </c>
      <c r="T145" s="4"/>
      <c r="U145" s="31" t="s">
        <v>321</v>
      </c>
    </row>
    <row r="146" spans="1:34" x14ac:dyDescent="0.25">
      <c r="A146" s="23">
        <v>110779</v>
      </c>
      <c r="B146" s="24" t="s">
        <v>194</v>
      </c>
      <c r="C146" s="24" t="s">
        <v>195</v>
      </c>
      <c r="D146" s="23" t="s">
        <v>152</v>
      </c>
      <c r="E146" s="23"/>
      <c r="F146" s="23" t="s">
        <v>153</v>
      </c>
      <c r="G146" s="23"/>
      <c r="H146" s="33" t="s">
        <v>154</v>
      </c>
      <c r="I146" s="26" t="s">
        <v>85</v>
      </c>
      <c r="J146" s="26" t="s">
        <v>86</v>
      </c>
      <c r="K146" s="26" t="s">
        <v>86</v>
      </c>
      <c r="L146" s="26" t="s">
        <v>86</v>
      </c>
      <c r="M146" s="26" t="s">
        <v>86</v>
      </c>
      <c r="N146" s="26" t="s">
        <v>86</v>
      </c>
      <c r="O146" s="26" t="s">
        <v>86</v>
      </c>
      <c r="P146" s="26" t="s">
        <v>86</v>
      </c>
      <c r="Q146" s="27">
        <f t="shared" si="5"/>
        <v>20</v>
      </c>
      <c r="R146" s="26" t="s">
        <v>13</v>
      </c>
      <c r="S146" s="4" t="s">
        <v>113</v>
      </c>
      <c r="T146" s="4"/>
      <c r="U146" s="31" t="s">
        <v>321</v>
      </c>
      <c r="AB146" s="35"/>
      <c r="AC146" s="21"/>
      <c r="AD146" s="21"/>
      <c r="AE146" s="21"/>
      <c r="AF146" s="21"/>
      <c r="AG146" s="21"/>
      <c r="AH146" s="21"/>
    </row>
    <row r="147" spans="1:34" x14ac:dyDescent="0.25">
      <c r="A147" s="23">
        <v>110792</v>
      </c>
      <c r="B147" s="24" t="s">
        <v>204</v>
      </c>
      <c r="C147" s="24" t="s">
        <v>205</v>
      </c>
      <c r="D147" s="24" t="s">
        <v>166</v>
      </c>
      <c r="E147" s="24" t="s">
        <v>166</v>
      </c>
      <c r="F147" s="24" t="s">
        <v>166</v>
      </c>
      <c r="G147" s="24" t="s">
        <v>167</v>
      </c>
      <c r="H147" s="33" t="s">
        <v>154</v>
      </c>
      <c r="I147" s="25" t="s">
        <v>85</v>
      </c>
      <c r="J147" s="25" t="s">
        <v>86</v>
      </c>
      <c r="K147" s="25" t="s">
        <v>86</v>
      </c>
      <c r="L147" s="25" t="s">
        <v>86</v>
      </c>
      <c r="M147" s="25" t="s">
        <v>86</v>
      </c>
      <c r="N147" s="25" t="s">
        <v>86</v>
      </c>
      <c r="O147" s="25" t="s">
        <v>86</v>
      </c>
      <c r="P147" s="25" t="s">
        <v>86</v>
      </c>
      <c r="Q147" s="27">
        <f t="shared" si="5"/>
        <v>20</v>
      </c>
      <c r="R147" s="26" t="s">
        <v>13</v>
      </c>
      <c r="S147" s="4" t="s">
        <v>113</v>
      </c>
      <c r="T147" s="4"/>
      <c r="U147" s="31" t="s">
        <v>321</v>
      </c>
    </row>
    <row r="148" spans="1:34" x14ac:dyDescent="0.25">
      <c r="A148" s="23">
        <v>110793</v>
      </c>
      <c r="B148" s="23" t="s">
        <v>206</v>
      </c>
      <c r="C148" s="23" t="s">
        <v>207</v>
      </c>
      <c r="D148" s="23" t="s">
        <v>168</v>
      </c>
      <c r="E148" s="23" t="s">
        <v>168</v>
      </c>
      <c r="F148" s="23" t="s">
        <v>168</v>
      </c>
      <c r="G148" s="23" t="s">
        <v>169</v>
      </c>
      <c r="H148" s="33" t="s">
        <v>154</v>
      </c>
      <c r="I148" s="26" t="s">
        <v>85</v>
      </c>
      <c r="J148" s="26" t="s">
        <v>86</v>
      </c>
      <c r="K148" s="26" t="s">
        <v>86</v>
      </c>
      <c r="L148" s="26" t="s">
        <v>86</v>
      </c>
      <c r="M148" s="26" t="s">
        <v>86</v>
      </c>
      <c r="N148" s="26" t="s">
        <v>86</v>
      </c>
      <c r="O148" s="26" t="s">
        <v>86</v>
      </c>
      <c r="P148" s="26" t="s">
        <v>86</v>
      </c>
      <c r="Q148" s="27">
        <f t="shared" si="5"/>
        <v>20</v>
      </c>
      <c r="R148" s="26" t="s">
        <v>90</v>
      </c>
      <c r="S148" s="4" t="s">
        <v>87</v>
      </c>
      <c r="T148" s="4"/>
      <c r="U148" s="31"/>
    </row>
    <row r="149" spans="1:34" x14ac:dyDescent="0.25">
      <c r="A149" s="23">
        <v>110878</v>
      </c>
      <c r="B149" s="24" t="s">
        <v>366</v>
      </c>
      <c r="C149" s="24" t="s">
        <v>367</v>
      </c>
      <c r="D149" s="23" t="s">
        <v>320</v>
      </c>
      <c r="E149" s="23"/>
      <c r="F149" s="23" t="s">
        <v>374</v>
      </c>
      <c r="G149" s="23"/>
      <c r="H149" s="33" t="s">
        <v>154</v>
      </c>
      <c r="I149" s="26" t="s">
        <v>85</v>
      </c>
      <c r="J149" s="26" t="s">
        <v>86</v>
      </c>
      <c r="K149" s="26" t="s">
        <v>86</v>
      </c>
      <c r="L149" s="26" t="s">
        <v>86</v>
      </c>
      <c r="M149" s="26" t="s">
        <v>86</v>
      </c>
      <c r="N149" s="26" t="s">
        <v>86</v>
      </c>
      <c r="O149" s="26" t="s">
        <v>86</v>
      </c>
      <c r="P149" s="26" t="s">
        <v>86</v>
      </c>
      <c r="Q149" s="27">
        <f t="shared" si="5"/>
        <v>20</v>
      </c>
      <c r="R149" s="26" t="s">
        <v>90</v>
      </c>
      <c r="S149" s="4" t="s">
        <v>113</v>
      </c>
      <c r="T149" s="4"/>
      <c r="U149" s="31" t="s">
        <v>321</v>
      </c>
    </row>
    <row r="150" spans="1:34" x14ac:dyDescent="0.25">
      <c r="A150" s="23">
        <v>110879</v>
      </c>
      <c r="B150" s="151" t="s">
        <v>364</v>
      </c>
      <c r="C150" s="151" t="s">
        <v>365</v>
      </c>
      <c r="D150" s="24" t="s">
        <v>319</v>
      </c>
      <c r="E150" s="24"/>
      <c r="F150" s="24" t="s">
        <v>319</v>
      </c>
      <c r="G150" s="24"/>
      <c r="H150" s="33" t="s">
        <v>154</v>
      </c>
      <c r="I150" s="25" t="s">
        <v>85</v>
      </c>
      <c r="J150" s="25" t="s">
        <v>86</v>
      </c>
      <c r="K150" s="25" t="s">
        <v>86</v>
      </c>
      <c r="L150" s="25" t="s">
        <v>86</v>
      </c>
      <c r="M150" s="25" t="s">
        <v>86</v>
      </c>
      <c r="N150" s="25" t="s">
        <v>86</v>
      </c>
      <c r="O150" s="25" t="s">
        <v>86</v>
      </c>
      <c r="P150" s="25" t="s">
        <v>86</v>
      </c>
      <c r="Q150" s="27">
        <f t="shared" si="5"/>
        <v>20</v>
      </c>
      <c r="R150" s="26" t="s">
        <v>13</v>
      </c>
      <c r="S150" s="4" t="s">
        <v>113</v>
      </c>
      <c r="T150" s="4"/>
      <c r="U150" s="31" t="s">
        <v>321</v>
      </c>
    </row>
    <row r="151" spans="1:34" x14ac:dyDescent="0.25">
      <c r="A151" s="23">
        <v>111063</v>
      </c>
      <c r="B151" s="23" t="s">
        <v>194</v>
      </c>
      <c r="C151" s="23" t="s">
        <v>195</v>
      </c>
      <c r="D151" s="23" t="s">
        <v>748</v>
      </c>
      <c r="E151" s="23"/>
      <c r="F151" s="23" t="s">
        <v>748</v>
      </c>
      <c r="G151" s="23"/>
      <c r="H151" s="33" t="s">
        <v>154</v>
      </c>
      <c r="I151" s="26" t="s">
        <v>85</v>
      </c>
      <c r="J151" s="83" t="s">
        <v>86</v>
      </c>
      <c r="K151" s="83" t="s">
        <v>86</v>
      </c>
      <c r="L151" s="83" t="s">
        <v>86</v>
      </c>
      <c r="M151" s="83" t="s">
        <v>86</v>
      </c>
      <c r="N151" s="83" t="s">
        <v>86</v>
      </c>
      <c r="O151" s="83" t="s">
        <v>86</v>
      </c>
      <c r="P151" s="83" t="s">
        <v>86</v>
      </c>
      <c r="Q151" s="27">
        <f t="shared" si="5"/>
        <v>20</v>
      </c>
      <c r="R151" s="26" t="s">
        <v>13</v>
      </c>
      <c r="S151" s="4" t="s">
        <v>113</v>
      </c>
      <c r="T151" s="4"/>
      <c r="U151" s="31"/>
    </row>
    <row r="152" spans="1:34" x14ac:dyDescent="0.25">
      <c r="A152" s="23">
        <v>110830</v>
      </c>
      <c r="B152" s="23" t="s">
        <v>268</v>
      </c>
      <c r="C152" s="23" t="s">
        <v>269</v>
      </c>
      <c r="D152" s="24" t="s">
        <v>266</v>
      </c>
      <c r="E152" s="24"/>
      <c r="F152" s="24" t="s">
        <v>266</v>
      </c>
      <c r="G152" s="24"/>
      <c r="H152" s="23" t="s">
        <v>267</v>
      </c>
      <c r="I152" s="25" t="s">
        <v>85</v>
      </c>
      <c r="J152" s="25" t="s">
        <v>86</v>
      </c>
      <c r="K152" s="25" t="s">
        <v>86</v>
      </c>
      <c r="L152" s="25" t="s">
        <v>86</v>
      </c>
      <c r="M152" s="25" t="s">
        <v>86</v>
      </c>
      <c r="N152" s="25" t="s">
        <v>86</v>
      </c>
      <c r="O152" s="25" t="s">
        <v>86</v>
      </c>
      <c r="P152" s="25" t="s">
        <v>86</v>
      </c>
      <c r="Q152" s="27">
        <f t="shared" si="5"/>
        <v>20</v>
      </c>
      <c r="R152" s="26" t="s">
        <v>90</v>
      </c>
      <c r="S152" s="4" t="s">
        <v>113</v>
      </c>
      <c r="T152" s="4"/>
      <c r="U152" s="31"/>
    </row>
    <row r="153" spans="1:34" x14ac:dyDescent="0.25">
      <c r="A153" s="23">
        <v>110949</v>
      </c>
      <c r="B153" s="24" t="s">
        <v>545</v>
      </c>
      <c r="C153" s="24" t="s">
        <v>493</v>
      </c>
      <c r="D153" s="24" t="s">
        <v>533</v>
      </c>
      <c r="E153" s="24"/>
      <c r="F153" s="24" t="s">
        <v>533</v>
      </c>
      <c r="G153" s="24"/>
      <c r="H153" s="23" t="s">
        <v>267</v>
      </c>
      <c r="I153" s="25" t="s">
        <v>85</v>
      </c>
      <c r="J153" s="25" t="s">
        <v>86</v>
      </c>
      <c r="K153" s="25" t="s">
        <v>86</v>
      </c>
      <c r="L153" s="25" t="s">
        <v>86</v>
      </c>
      <c r="M153" s="66" t="s">
        <v>86</v>
      </c>
      <c r="N153" s="25" t="s">
        <v>86</v>
      </c>
      <c r="O153" s="25" t="s">
        <v>86</v>
      </c>
      <c r="P153" s="25" t="s">
        <v>86</v>
      </c>
      <c r="Q153" s="27">
        <f t="shared" si="5"/>
        <v>20</v>
      </c>
      <c r="R153" s="26" t="s">
        <v>90</v>
      </c>
      <c r="S153" s="4" t="s">
        <v>113</v>
      </c>
      <c r="T153" s="4"/>
      <c r="U153" s="31"/>
    </row>
    <row r="154" spans="1:34" x14ac:dyDescent="0.25">
      <c r="A154" s="23">
        <v>110955</v>
      </c>
      <c r="B154" s="24" t="s">
        <v>545</v>
      </c>
      <c r="C154" s="152" t="s">
        <v>493</v>
      </c>
      <c r="D154" s="24" t="s">
        <v>535</v>
      </c>
      <c r="E154" s="24"/>
      <c r="F154" s="24" t="s">
        <v>533</v>
      </c>
      <c r="G154" s="24"/>
      <c r="H154" s="23" t="s">
        <v>267</v>
      </c>
      <c r="I154" s="25" t="s">
        <v>85</v>
      </c>
      <c r="J154" s="25" t="s">
        <v>86</v>
      </c>
      <c r="K154" s="25" t="s">
        <v>86</v>
      </c>
      <c r="L154" s="25" t="s">
        <v>86</v>
      </c>
      <c r="M154" s="25" t="s">
        <v>86</v>
      </c>
      <c r="N154" s="25" t="s">
        <v>86</v>
      </c>
      <c r="O154" s="25" t="s">
        <v>86</v>
      </c>
      <c r="P154" s="25" t="s">
        <v>86</v>
      </c>
      <c r="Q154" s="27">
        <f t="shared" si="5"/>
        <v>20</v>
      </c>
      <c r="R154" s="26" t="s">
        <v>13</v>
      </c>
      <c r="S154" s="4" t="s">
        <v>113</v>
      </c>
      <c r="T154" s="4"/>
      <c r="U154" s="31"/>
      <c r="AB154" s="94"/>
    </row>
    <row r="155" spans="1:34" x14ac:dyDescent="0.25">
      <c r="A155" s="23">
        <v>110970</v>
      </c>
      <c r="B155" s="23" t="s">
        <v>548</v>
      </c>
      <c r="C155" s="23" t="s">
        <v>549</v>
      </c>
      <c r="D155" s="23" t="s">
        <v>536</v>
      </c>
      <c r="E155" s="23"/>
      <c r="F155" s="23" t="s">
        <v>568</v>
      </c>
      <c r="G155" s="23"/>
      <c r="H155" s="23" t="s">
        <v>267</v>
      </c>
      <c r="I155" s="26" t="s">
        <v>85</v>
      </c>
      <c r="J155" s="26" t="s">
        <v>86</v>
      </c>
      <c r="K155" s="26" t="s">
        <v>86</v>
      </c>
      <c r="L155" s="26" t="s">
        <v>86</v>
      </c>
      <c r="M155" s="26" t="s">
        <v>86</v>
      </c>
      <c r="N155" s="26" t="s">
        <v>86</v>
      </c>
      <c r="O155" s="26" t="s">
        <v>86</v>
      </c>
      <c r="P155" s="26" t="s">
        <v>86</v>
      </c>
      <c r="Q155" s="27">
        <f t="shared" si="5"/>
        <v>20</v>
      </c>
      <c r="R155" s="26" t="s">
        <v>13</v>
      </c>
      <c r="S155" s="4" t="s">
        <v>113</v>
      </c>
      <c r="T155" s="4"/>
      <c r="U155" s="31"/>
    </row>
    <row r="156" spans="1:34" x14ac:dyDescent="0.25">
      <c r="A156" s="23">
        <v>110971</v>
      </c>
      <c r="B156" s="23" t="s">
        <v>546</v>
      </c>
      <c r="C156" s="23" t="s">
        <v>547</v>
      </c>
      <c r="D156" s="23" t="s">
        <v>534</v>
      </c>
      <c r="E156" s="23"/>
      <c r="F156" s="23" t="s">
        <v>569</v>
      </c>
      <c r="G156" s="23"/>
      <c r="H156" s="23" t="s">
        <v>267</v>
      </c>
      <c r="I156" s="26" t="s">
        <v>85</v>
      </c>
      <c r="J156" s="26" t="s">
        <v>86</v>
      </c>
      <c r="K156" s="26" t="s">
        <v>86</v>
      </c>
      <c r="L156" s="26" t="s">
        <v>86</v>
      </c>
      <c r="M156" s="26" t="s">
        <v>86</v>
      </c>
      <c r="N156" s="26" t="s">
        <v>86</v>
      </c>
      <c r="O156" s="26" t="s">
        <v>86</v>
      </c>
      <c r="P156" s="26" t="s">
        <v>86</v>
      </c>
      <c r="Q156" s="27">
        <f t="shared" si="5"/>
        <v>20</v>
      </c>
      <c r="R156" s="26" t="s">
        <v>13</v>
      </c>
      <c r="S156" s="4" t="s">
        <v>113</v>
      </c>
      <c r="T156" s="4"/>
      <c r="U156" s="31"/>
    </row>
    <row r="157" spans="1:34" x14ac:dyDescent="0.25">
      <c r="A157" s="23">
        <v>110914</v>
      </c>
      <c r="B157" s="23" t="s">
        <v>477</v>
      </c>
      <c r="C157" s="23" t="s">
        <v>478</v>
      </c>
      <c r="D157" s="23" t="s">
        <v>455</v>
      </c>
      <c r="E157" s="23" t="s">
        <v>455</v>
      </c>
      <c r="F157" s="23"/>
      <c r="G157" s="23"/>
      <c r="H157" s="33" t="s">
        <v>456</v>
      </c>
      <c r="I157" s="26" t="s">
        <v>97</v>
      </c>
      <c r="J157" s="26" t="s">
        <v>86</v>
      </c>
      <c r="K157" s="26" t="s">
        <v>86</v>
      </c>
      <c r="L157" s="26" t="s">
        <v>86</v>
      </c>
      <c r="M157" s="26" t="s">
        <v>86</v>
      </c>
      <c r="N157" s="26" t="s">
        <v>86</v>
      </c>
      <c r="O157" s="26" t="s">
        <v>86</v>
      </c>
      <c r="P157" s="26" t="s">
        <v>86</v>
      </c>
      <c r="Q157" s="27">
        <f t="shared" si="5"/>
        <v>20</v>
      </c>
      <c r="R157" s="26" t="s">
        <v>13</v>
      </c>
      <c r="S157" s="4" t="s">
        <v>113</v>
      </c>
      <c r="T157" s="4"/>
      <c r="U157" s="31" t="s">
        <v>321</v>
      </c>
      <c r="AB157" s="94"/>
    </row>
    <row r="158" spans="1:34" x14ac:dyDescent="0.25">
      <c r="A158" s="23">
        <v>110918</v>
      </c>
      <c r="B158" s="24" t="s">
        <v>479</v>
      </c>
      <c r="C158" s="24" t="s">
        <v>480</v>
      </c>
      <c r="D158" s="24" t="s">
        <v>457</v>
      </c>
      <c r="E158" s="24" t="s">
        <v>458</v>
      </c>
      <c r="F158" s="24"/>
      <c r="G158" s="24"/>
      <c r="H158" s="33" t="s">
        <v>456</v>
      </c>
      <c r="I158" s="25" t="s">
        <v>97</v>
      </c>
      <c r="J158" s="25" t="s">
        <v>86</v>
      </c>
      <c r="K158" s="25" t="s">
        <v>86</v>
      </c>
      <c r="L158" s="25" t="s">
        <v>86</v>
      </c>
      <c r="M158" s="25" t="s">
        <v>86</v>
      </c>
      <c r="N158" s="25" t="s">
        <v>86</v>
      </c>
      <c r="O158" s="25" t="s">
        <v>86</v>
      </c>
      <c r="P158" s="25" t="s">
        <v>86</v>
      </c>
      <c r="Q158" s="27">
        <f t="shared" si="5"/>
        <v>20</v>
      </c>
      <c r="R158" s="26" t="s">
        <v>13</v>
      </c>
      <c r="S158" s="4" t="s">
        <v>113</v>
      </c>
      <c r="T158" s="4"/>
      <c r="U158" s="31" t="s">
        <v>321</v>
      </c>
      <c r="AB158" s="94"/>
    </row>
    <row r="159" spans="1:34" x14ac:dyDescent="0.25">
      <c r="A159" s="23">
        <v>110923</v>
      </c>
      <c r="B159" s="24" t="s">
        <v>484</v>
      </c>
      <c r="C159" s="24" t="s">
        <v>485</v>
      </c>
      <c r="D159" s="24" t="s">
        <v>462</v>
      </c>
      <c r="E159" s="24" t="s">
        <v>463</v>
      </c>
      <c r="F159" s="24"/>
      <c r="G159" s="24"/>
      <c r="H159" s="33" t="s">
        <v>456</v>
      </c>
      <c r="I159" s="25" t="s">
        <v>97</v>
      </c>
      <c r="J159" s="25" t="s">
        <v>86</v>
      </c>
      <c r="K159" s="25" t="s">
        <v>86</v>
      </c>
      <c r="L159" s="25" t="s">
        <v>86</v>
      </c>
      <c r="M159" s="25" t="s">
        <v>86</v>
      </c>
      <c r="N159" s="25" t="s">
        <v>86</v>
      </c>
      <c r="O159" s="25" t="s">
        <v>86</v>
      </c>
      <c r="P159" s="25" t="s">
        <v>86</v>
      </c>
      <c r="Q159" s="27">
        <f t="shared" si="5"/>
        <v>20</v>
      </c>
      <c r="R159" s="26" t="s">
        <v>13</v>
      </c>
      <c r="S159" s="4" t="s">
        <v>113</v>
      </c>
      <c r="T159" s="4"/>
      <c r="U159" s="31" t="s">
        <v>321</v>
      </c>
      <c r="AB159" s="94"/>
    </row>
    <row r="160" spans="1:34" x14ac:dyDescent="0.25">
      <c r="A160" s="23">
        <v>110927</v>
      </c>
      <c r="B160" s="62" t="s">
        <v>488</v>
      </c>
      <c r="C160" s="62" t="s">
        <v>489</v>
      </c>
      <c r="D160" s="23" t="s">
        <v>465</v>
      </c>
      <c r="E160" s="23" t="s">
        <v>466</v>
      </c>
      <c r="F160" s="23"/>
      <c r="G160" s="23"/>
      <c r="H160" s="33" t="s">
        <v>456</v>
      </c>
      <c r="I160" s="26" t="s">
        <v>97</v>
      </c>
      <c r="J160" s="26" t="s">
        <v>86</v>
      </c>
      <c r="K160" s="26" t="s">
        <v>86</v>
      </c>
      <c r="L160" s="26" t="s">
        <v>86</v>
      </c>
      <c r="M160" s="26" t="s">
        <v>86</v>
      </c>
      <c r="N160" s="26" t="s">
        <v>86</v>
      </c>
      <c r="O160" s="26" t="s">
        <v>86</v>
      </c>
      <c r="P160" s="26" t="s">
        <v>86</v>
      </c>
      <c r="Q160" s="27">
        <f t="shared" ref="Q160:Q191" si="6">IF(R160="Coupon",0,(20+IF(K160="X",13,0)+IF(L160="X",5,0)+IF(M160="X",13,0)+IF(N160="X",13,0)+IF(O160="X",5,0)+IF(P160="X",13,0)-IF(T160="x",15,0)))</f>
        <v>20</v>
      </c>
      <c r="R160" s="26" t="s">
        <v>13</v>
      </c>
      <c r="S160" s="4" t="s">
        <v>113</v>
      </c>
      <c r="T160" s="4"/>
      <c r="U160" s="31" t="s">
        <v>321</v>
      </c>
    </row>
    <row r="161" spans="1:34" x14ac:dyDescent="0.25">
      <c r="A161" s="23">
        <v>110944</v>
      </c>
      <c r="B161" s="24" t="s">
        <v>523</v>
      </c>
      <c r="C161" s="24" t="s">
        <v>524</v>
      </c>
      <c r="D161" s="24" t="s">
        <v>520</v>
      </c>
      <c r="E161" s="24" t="s">
        <v>520</v>
      </c>
      <c r="F161" s="24"/>
      <c r="G161" s="24"/>
      <c r="H161" s="33" t="s">
        <v>456</v>
      </c>
      <c r="I161" s="25" t="s">
        <v>97</v>
      </c>
      <c r="J161" s="25" t="s">
        <v>86</v>
      </c>
      <c r="K161" s="25" t="s">
        <v>86</v>
      </c>
      <c r="L161" s="25" t="s">
        <v>86</v>
      </c>
      <c r="M161" s="25" t="s">
        <v>86</v>
      </c>
      <c r="N161" s="25" t="s">
        <v>86</v>
      </c>
      <c r="O161" s="25" t="s">
        <v>86</v>
      </c>
      <c r="P161" s="25" t="s">
        <v>86</v>
      </c>
      <c r="Q161" s="27">
        <f t="shared" si="6"/>
        <v>20</v>
      </c>
      <c r="R161" s="26" t="s">
        <v>90</v>
      </c>
      <c r="S161" s="4" t="s">
        <v>87</v>
      </c>
      <c r="T161" s="4"/>
      <c r="U161" s="31" t="s">
        <v>321</v>
      </c>
    </row>
    <row r="162" spans="1:34" x14ac:dyDescent="0.25">
      <c r="A162" s="143">
        <v>110758</v>
      </c>
      <c r="B162" s="23" t="s">
        <v>139</v>
      </c>
      <c r="C162" s="23" t="s">
        <v>140</v>
      </c>
      <c r="D162" s="23" t="s">
        <v>134</v>
      </c>
      <c r="E162" s="23"/>
      <c r="F162" s="23" t="s">
        <v>135</v>
      </c>
      <c r="G162" s="23"/>
      <c r="H162" s="33" t="s">
        <v>598</v>
      </c>
      <c r="I162" s="26" t="s">
        <v>85</v>
      </c>
      <c r="J162" s="26" t="s">
        <v>86</v>
      </c>
      <c r="K162" s="26" t="s">
        <v>86</v>
      </c>
      <c r="L162" s="26" t="s">
        <v>86</v>
      </c>
      <c r="M162" s="65" t="s">
        <v>86</v>
      </c>
      <c r="N162" s="26" t="s">
        <v>86</v>
      </c>
      <c r="O162" s="26" t="s">
        <v>86</v>
      </c>
      <c r="P162" s="26" t="s">
        <v>86</v>
      </c>
      <c r="Q162" s="27">
        <f t="shared" si="6"/>
        <v>20</v>
      </c>
      <c r="R162" s="26" t="s">
        <v>90</v>
      </c>
      <c r="S162" s="4" t="s">
        <v>87</v>
      </c>
      <c r="T162" s="4"/>
      <c r="U162" s="31" t="s">
        <v>321</v>
      </c>
    </row>
    <row r="163" spans="1:34" x14ac:dyDescent="0.25">
      <c r="A163" s="23">
        <v>110763</v>
      </c>
      <c r="B163" s="23" t="s">
        <v>137</v>
      </c>
      <c r="C163" s="23" t="s">
        <v>138</v>
      </c>
      <c r="D163" s="23" t="s">
        <v>136</v>
      </c>
      <c r="E163" s="23"/>
      <c r="F163" s="23" t="s">
        <v>136</v>
      </c>
      <c r="G163" s="23"/>
      <c r="H163" s="33" t="s">
        <v>598</v>
      </c>
      <c r="I163" s="26" t="s">
        <v>85</v>
      </c>
      <c r="J163" s="26" t="s">
        <v>86</v>
      </c>
      <c r="K163" s="26" t="s">
        <v>86</v>
      </c>
      <c r="L163" s="26" t="s">
        <v>86</v>
      </c>
      <c r="M163" s="26" t="s">
        <v>86</v>
      </c>
      <c r="N163" s="26" t="s">
        <v>86</v>
      </c>
      <c r="O163" s="26" t="s">
        <v>86</v>
      </c>
      <c r="P163" s="26" t="s">
        <v>86</v>
      </c>
      <c r="Q163" s="27">
        <f t="shared" si="6"/>
        <v>20</v>
      </c>
      <c r="R163" s="26" t="s">
        <v>90</v>
      </c>
      <c r="S163" s="4" t="s">
        <v>87</v>
      </c>
      <c r="T163" s="4"/>
      <c r="U163" s="31" t="s">
        <v>321</v>
      </c>
      <c r="AB163" s="35"/>
      <c r="AC163" s="21"/>
      <c r="AD163" s="21"/>
      <c r="AE163" s="21"/>
      <c r="AF163" s="21"/>
      <c r="AG163" s="21"/>
      <c r="AH163" s="21"/>
    </row>
    <row r="164" spans="1:34" x14ac:dyDescent="0.25">
      <c r="A164" s="23">
        <v>110947</v>
      </c>
      <c r="B164" s="24" t="s">
        <v>542</v>
      </c>
      <c r="C164" s="24" t="s">
        <v>493</v>
      </c>
      <c r="D164" s="24" t="s">
        <v>528</v>
      </c>
      <c r="E164" s="24"/>
      <c r="F164" s="24" t="s">
        <v>529</v>
      </c>
      <c r="G164" s="24"/>
      <c r="H164" s="33" t="s">
        <v>598</v>
      </c>
      <c r="I164" s="25" t="s">
        <v>85</v>
      </c>
      <c r="J164" s="25" t="s">
        <v>86</v>
      </c>
      <c r="K164" s="25" t="s">
        <v>86</v>
      </c>
      <c r="L164" s="25" t="s">
        <v>86</v>
      </c>
      <c r="M164" s="25" t="s">
        <v>86</v>
      </c>
      <c r="N164" s="25" t="s">
        <v>86</v>
      </c>
      <c r="O164" s="25" t="s">
        <v>86</v>
      </c>
      <c r="P164" s="25" t="s">
        <v>86</v>
      </c>
      <c r="Q164" s="27">
        <f t="shared" si="6"/>
        <v>20</v>
      </c>
      <c r="R164" s="26" t="s">
        <v>90</v>
      </c>
      <c r="S164" s="4" t="s">
        <v>87</v>
      </c>
      <c r="T164" s="4"/>
      <c r="U164" s="31"/>
    </row>
    <row r="165" spans="1:34" x14ac:dyDescent="0.25">
      <c r="A165" s="23">
        <v>110967</v>
      </c>
      <c r="B165" s="24" t="s">
        <v>582</v>
      </c>
      <c r="C165" s="24" t="s">
        <v>583</v>
      </c>
      <c r="D165" s="24" t="s">
        <v>564</v>
      </c>
      <c r="E165" s="24"/>
      <c r="F165" s="24" t="s">
        <v>565</v>
      </c>
      <c r="G165" s="24"/>
      <c r="H165" s="33" t="s">
        <v>598</v>
      </c>
      <c r="I165" s="25" t="s">
        <v>85</v>
      </c>
      <c r="J165" s="25" t="s">
        <v>86</v>
      </c>
      <c r="K165" s="25" t="s">
        <v>86</v>
      </c>
      <c r="L165" s="25" t="s">
        <v>86</v>
      </c>
      <c r="M165" s="25" t="s">
        <v>86</v>
      </c>
      <c r="N165" s="25" t="s">
        <v>86</v>
      </c>
      <c r="O165" s="25" t="s">
        <v>86</v>
      </c>
      <c r="P165" s="25" t="s">
        <v>86</v>
      </c>
      <c r="Q165" s="27">
        <f t="shared" si="6"/>
        <v>20</v>
      </c>
      <c r="R165" s="26" t="s">
        <v>90</v>
      </c>
      <c r="S165" s="4" t="s">
        <v>87</v>
      </c>
      <c r="T165" s="4"/>
      <c r="U165" s="31"/>
    </row>
    <row r="166" spans="1:34" x14ac:dyDescent="0.25">
      <c r="A166" s="23">
        <v>111015</v>
      </c>
      <c r="B166" s="23" t="s">
        <v>652</v>
      </c>
      <c r="C166" s="23" t="s">
        <v>653</v>
      </c>
      <c r="D166" s="23" t="s">
        <v>646</v>
      </c>
      <c r="E166" s="23"/>
      <c r="F166" s="23" t="s">
        <v>647</v>
      </c>
      <c r="G166" s="23"/>
      <c r="H166" s="33" t="s">
        <v>598</v>
      </c>
      <c r="I166" s="26" t="s">
        <v>85</v>
      </c>
      <c r="J166" s="83" t="s">
        <v>86</v>
      </c>
      <c r="K166" s="83" t="s">
        <v>86</v>
      </c>
      <c r="L166" s="83" t="s">
        <v>86</v>
      </c>
      <c r="M166" s="83" t="s">
        <v>86</v>
      </c>
      <c r="N166" s="83" t="s">
        <v>86</v>
      </c>
      <c r="O166" s="83" t="s">
        <v>86</v>
      </c>
      <c r="P166" s="83" t="s">
        <v>86</v>
      </c>
      <c r="Q166" s="27">
        <f t="shared" si="6"/>
        <v>20</v>
      </c>
      <c r="R166" s="26" t="s">
        <v>90</v>
      </c>
      <c r="S166" s="4" t="s">
        <v>87</v>
      </c>
      <c r="T166" s="4"/>
      <c r="U166" s="31"/>
    </row>
    <row r="167" spans="1:34" x14ac:dyDescent="0.25">
      <c r="A167" s="23">
        <v>110751</v>
      </c>
      <c r="B167" s="23" t="s">
        <v>110</v>
      </c>
      <c r="C167" s="23" t="s">
        <v>111</v>
      </c>
      <c r="D167" s="23" t="s">
        <v>107</v>
      </c>
      <c r="E167" s="23"/>
      <c r="F167" s="23"/>
      <c r="G167" s="23" t="s">
        <v>108</v>
      </c>
      <c r="H167" s="33"/>
      <c r="I167" s="26" t="s">
        <v>109</v>
      </c>
      <c r="J167" s="26" t="s">
        <v>86</v>
      </c>
      <c r="K167" s="26" t="s">
        <v>86</v>
      </c>
      <c r="L167" s="26" t="s">
        <v>86</v>
      </c>
      <c r="M167" s="26" t="s">
        <v>86</v>
      </c>
      <c r="N167" s="26" t="s">
        <v>86</v>
      </c>
      <c r="O167" s="26" t="s">
        <v>86</v>
      </c>
      <c r="P167" s="26" t="s">
        <v>86</v>
      </c>
      <c r="Q167" s="27">
        <f t="shared" si="6"/>
        <v>0</v>
      </c>
      <c r="R167" s="26" t="s">
        <v>112</v>
      </c>
      <c r="S167" s="4" t="s">
        <v>113</v>
      </c>
      <c r="T167" s="4"/>
      <c r="U167" s="31"/>
      <c r="AB167" s="35"/>
      <c r="AC167" s="21"/>
      <c r="AD167" s="21"/>
      <c r="AE167" s="21"/>
      <c r="AF167" s="21"/>
      <c r="AG167" s="21"/>
      <c r="AH167" s="21"/>
    </row>
    <row r="168" spans="1:34" x14ac:dyDescent="0.25">
      <c r="A168" s="23">
        <v>110815</v>
      </c>
      <c r="B168" s="23" t="s">
        <v>251</v>
      </c>
      <c r="C168" s="23" t="s">
        <v>101</v>
      </c>
      <c r="D168" s="23" t="s">
        <v>241</v>
      </c>
      <c r="E168" s="23" t="s">
        <v>242</v>
      </c>
      <c r="F168" s="23" t="s">
        <v>243</v>
      </c>
      <c r="G168" s="23" t="s">
        <v>244</v>
      </c>
      <c r="H168" s="33"/>
      <c r="I168" s="26" t="s">
        <v>109</v>
      </c>
      <c r="J168" s="26" t="s">
        <v>86</v>
      </c>
      <c r="K168" s="26" t="s">
        <v>86</v>
      </c>
      <c r="L168" s="26" t="s">
        <v>86</v>
      </c>
      <c r="M168" s="26" t="s">
        <v>16</v>
      </c>
      <c r="N168" s="26" t="s">
        <v>86</v>
      </c>
      <c r="O168" s="26" t="s">
        <v>16</v>
      </c>
      <c r="P168" s="26" t="s">
        <v>16</v>
      </c>
      <c r="Q168" s="27">
        <f t="shared" si="6"/>
        <v>36</v>
      </c>
      <c r="R168" s="26" t="s">
        <v>90</v>
      </c>
      <c r="S168" s="4" t="s">
        <v>113</v>
      </c>
      <c r="T168" s="4" t="s">
        <v>321</v>
      </c>
      <c r="U168" s="31" t="s">
        <v>321</v>
      </c>
    </row>
    <row r="169" spans="1:34" x14ac:dyDescent="0.25">
      <c r="A169" s="23">
        <v>110877</v>
      </c>
      <c r="B169" s="23" t="s">
        <v>370</v>
      </c>
      <c r="C169" s="23" t="s">
        <v>371</v>
      </c>
      <c r="D169" s="23" t="s">
        <v>324</v>
      </c>
      <c r="E169" s="23"/>
      <c r="F169" s="23"/>
      <c r="G169" s="23" t="s">
        <v>325</v>
      </c>
      <c r="H169" s="33"/>
      <c r="I169" s="26" t="s">
        <v>109</v>
      </c>
      <c r="J169" s="26" t="s">
        <v>86</v>
      </c>
      <c r="K169" s="26" t="s">
        <v>86</v>
      </c>
      <c r="L169" s="26" t="s">
        <v>86</v>
      </c>
      <c r="M169" s="26" t="s">
        <v>86</v>
      </c>
      <c r="N169" s="26" t="s">
        <v>86</v>
      </c>
      <c r="O169" s="26" t="s">
        <v>86</v>
      </c>
      <c r="P169" s="26" t="s">
        <v>86</v>
      </c>
      <c r="Q169" s="32">
        <f t="shared" si="6"/>
        <v>20</v>
      </c>
      <c r="R169" s="26" t="s">
        <v>90</v>
      </c>
      <c r="S169" s="4" t="s">
        <v>87</v>
      </c>
      <c r="T169" s="4"/>
      <c r="U169" s="31"/>
    </row>
    <row r="170" spans="1:34" x14ac:dyDescent="0.25">
      <c r="A170" s="23">
        <v>110891</v>
      </c>
      <c r="B170" s="23" t="s">
        <v>400</v>
      </c>
      <c r="C170" s="23" t="s">
        <v>99</v>
      </c>
      <c r="D170" s="23" t="s">
        <v>393</v>
      </c>
      <c r="E170" s="23"/>
      <c r="F170" s="23"/>
      <c r="G170" s="23" t="s">
        <v>394</v>
      </c>
      <c r="H170" s="33"/>
      <c r="I170" s="26" t="s">
        <v>109</v>
      </c>
      <c r="J170" s="26" t="s">
        <v>86</v>
      </c>
      <c r="K170" s="26" t="s">
        <v>86</v>
      </c>
      <c r="L170" s="26" t="s">
        <v>86</v>
      </c>
      <c r="M170" s="26" t="s">
        <v>86</v>
      </c>
      <c r="N170" s="26" t="s">
        <v>86</v>
      </c>
      <c r="O170" s="26" t="s">
        <v>86</v>
      </c>
      <c r="P170" s="26" t="s">
        <v>86</v>
      </c>
      <c r="Q170" s="32">
        <f t="shared" si="6"/>
        <v>20</v>
      </c>
      <c r="R170" s="26" t="s">
        <v>401</v>
      </c>
      <c r="S170" s="4" t="s">
        <v>87</v>
      </c>
      <c r="T170" s="4"/>
      <c r="U170" s="31"/>
    </row>
    <row r="171" spans="1:34" x14ac:dyDescent="0.25">
      <c r="A171" s="23">
        <v>110969</v>
      </c>
      <c r="B171" s="151" t="s">
        <v>584</v>
      </c>
      <c r="C171" s="151" t="s">
        <v>440</v>
      </c>
      <c r="D171" s="24" t="s">
        <v>566</v>
      </c>
      <c r="E171" s="24" t="s">
        <v>567</v>
      </c>
      <c r="F171" s="24" t="s">
        <v>566</v>
      </c>
      <c r="G171" s="24"/>
      <c r="H171" s="23"/>
      <c r="I171" s="25" t="s">
        <v>86</v>
      </c>
      <c r="J171" s="25" t="s">
        <v>86</v>
      </c>
      <c r="K171" s="25" t="s">
        <v>86</v>
      </c>
      <c r="L171" s="25" t="s">
        <v>86</v>
      </c>
      <c r="M171" s="25" t="s">
        <v>86</v>
      </c>
      <c r="N171" s="25" t="s">
        <v>86</v>
      </c>
      <c r="O171" s="25" t="s">
        <v>86</v>
      </c>
      <c r="P171" s="25" t="s">
        <v>86</v>
      </c>
      <c r="Q171" s="32">
        <f t="shared" si="6"/>
        <v>20</v>
      </c>
      <c r="R171" s="26" t="s">
        <v>90</v>
      </c>
      <c r="S171" s="4" t="s">
        <v>113</v>
      </c>
      <c r="T171" s="4"/>
      <c r="U171" s="31"/>
    </row>
    <row r="172" spans="1:34" x14ac:dyDescent="0.25">
      <c r="A172" s="23">
        <v>110985</v>
      </c>
      <c r="B172" s="24" t="s">
        <v>596</v>
      </c>
      <c r="C172" s="24" t="s">
        <v>597</v>
      </c>
      <c r="D172" s="24" t="s">
        <v>594</v>
      </c>
      <c r="E172" s="24"/>
      <c r="F172" s="24"/>
      <c r="G172" s="24" t="s">
        <v>595</v>
      </c>
      <c r="H172" s="23"/>
      <c r="I172" s="25" t="s">
        <v>109</v>
      </c>
      <c r="J172" s="25" t="s">
        <v>16</v>
      </c>
      <c r="K172" s="25" t="s">
        <v>86</v>
      </c>
      <c r="L172" s="25" t="s">
        <v>86</v>
      </c>
      <c r="M172" s="25" t="s">
        <v>86</v>
      </c>
      <c r="N172" s="25" t="s">
        <v>86</v>
      </c>
      <c r="O172" s="25" t="s">
        <v>86</v>
      </c>
      <c r="P172" s="25" t="s">
        <v>86</v>
      </c>
      <c r="Q172" s="32">
        <f t="shared" si="6"/>
        <v>20</v>
      </c>
      <c r="R172" s="26" t="s">
        <v>13</v>
      </c>
      <c r="S172" s="4" t="s">
        <v>113</v>
      </c>
      <c r="T172" s="4"/>
      <c r="U172" s="31"/>
    </row>
    <row r="173" spans="1:34" x14ac:dyDescent="0.25">
      <c r="A173" s="23">
        <v>111029</v>
      </c>
      <c r="B173" s="23" t="s">
        <v>675</v>
      </c>
      <c r="C173" s="23" t="s">
        <v>676</v>
      </c>
      <c r="D173" s="23" t="s">
        <v>670</v>
      </c>
      <c r="E173" s="23" t="s">
        <v>671</v>
      </c>
      <c r="F173" s="23" t="s">
        <v>672</v>
      </c>
      <c r="G173" s="23" t="s">
        <v>673</v>
      </c>
      <c r="H173" s="33"/>
      <c r="I173" s="26" t="s">
        <v>109</v>
      </c>
      <c r="J173" s="83" t="s">
        <v>86</v>
      </c>
      <c r="K173" s="83" t="s">
        <v>86</v>
      </c>
      <c r="L173" s="83" t="s">
        <v>86</v>
      </c>
      <c r="M173" s="83" t="s">
        <v>86</v>
      </c>
      <c r="N173" s="83" t="s">
        <v>86</v>
      </c>
      <c r="O173" s="83" t="s">
        <v>86</v>
      </c>
      <c r="P173" s="83" t="s">
        <v>86</v>
      </c>
      <c r="Q173" s="32">
        <f t="shared" si="6"/>
        <v>20</v>
      </c>
      <c r="R173" s="26" t="s">
        <v>90</v>
      </c>
      <c r="S173" s="4" t="s">
        <v>113</v>
      </c>
      <c r="T173" s="4"/>
      <c r="U173" s="31" t="s">
        <v>321</v>
      </c>
    </row>
    <row r="174" spans="1:34" x14ac:dyDescent="0.25">
      <c r="A174" s="23">
        <v>111036</v>
      </c>
      <c r="B174" s="23" t="s">
        <v>682</v>
      </c>
      <c r="C174" s="23" t="s">
        <v>412</v>
      </c>
      <c r="D174" s="23" t="s">
        <v>679</v>
      </c>
      <c r="E174" s="23"/>
      <c r="F174" s="23"/>
      <c r="G174" s="23" t="s">
        <v>680</v>
      </c>
      <c r="H174" s="33"/>
      <c r="I174" s="26" t="s">
        <v>109</v>
      </c>
      <c r="J174" s="83" t="s">
        <v>86</v>
      </c>
      <c r="K174" s="83" t="s">
        <v>86</v>
      </c>
      <c r="L174" s="83" t="s">
        <v>86</v>
      </c>
      <c r="M174" s="83" t="s">
        <v>16</v>
      </c>
      <c r="N174" s="83" t="s">
        <v>86</v>
      </c>
      <c r="O174" s="83" t="s">
        <v>86</v>
      </c>
      <c r="P174" s="83" t="s">
        <v>16</v>
      </c>
      <c r="Q174" s="32">
        <f t="shared" si="6"/>
        <v>46</v>
      </c>
      <c r="R174" s="26" t="s">
        <v>90</v>
      </c>
      <c r="S174" s="4" t="s">
        <v>113</v>
      </c>
      <c r="T174" s="4"/>
      <c r="U174" s="31"/>
    </row>
    <row r="175" spans="1:34" s="149" customFormat="1" x14ac:dyDescent="0.25">
      <c r="A175" s="23">
        <v>111049</v>
      </c>
      <c r="B175" s="23" t="s">
        <v>735</v>
      </c>
      <c r="C175" s="23" t="s">
        <v>736</v>
      </c>
      <c r="D175" s="23" t="s">
        <v>716</v>
      </c>
      <c r="E175" s="23"/>
      <c r="F175" s="23"/>
      <c r="G175" s="23" t="s">
        <v>717</v>
      </c>
      <c r="H175" s="33"/>
      <c r="I175" s="26" t="s">
        <v>109</v>
      </c>
      <c r="J175" s="83" t="s">
        <v>86</v>
      </c>
      <c r="K175" s="83" t="s">
        <v>86</v>
      </c>
      <c r="L175" s="83" t="s">
        <v>86</v>
      </c>
      <c r="M175" s="83" t="s">
        <v>86</v>
      </c>
      <c r="N175" s="83" t="s">
        <v>86</v>
      </c>
      <c r="O175" s="83" t="s">
        <v>86</v>
      </c>
      <c r="P175" s="83" t="s">
        <v>86</v>
      </c>
      <c r="Q175" s="32">
        <f t="shared" si="6"/>
        <v>20</v>
      </c>
      <c r="R175" s="26" t="s">
        <v>13</v>
      </c>
      <c r="S175" s="4" t="s">
        <v>113</v>
      </c>
      <c r="T175" s="4"/>
      <c r="U175" s="31"/>
      <c r="V175" s="94"/>
      <c r="W175" s="94"/>
      <c r="X175" s="94"/>
      <c r="Y175" s="94"/>
      <c r="Z175" s="94"/>
      <c r="AA175" s="94"/>
      <c r="AB175" s="94"/>
      <c r="AC175" s="1"/>
      <c r="AD175" s="1"/>
      <c r="AE175" s="1"/>
      <c r="AF175" s="1"/>
      <c r="AG175" s="1"/>
      <c r="AH175" s="1"/>
    </row>
    <row r="176" spans="1:34" x14ac:dyDescent="0.25">
      <c r="A176" s="23">
        <v>111051</v>
      </c>
      <c r="B176" s="23" t="s">
        <v>737</v>
      </c>
      <c r="C176" s="23" t="s">
        <v>215</v>
      </c>
      <c r="D176" s="23" t="s">
        <v>718</v>
      </c>
      <c r="E176" s="23"/>
      <c r="F176" s="23"/>
      <c r="G176" s="23" t="s">
        <v>719</v>
      </c>
      <c r="H176" s="33"/>
      <c r="I176" s="26" t="s">
        <v>109</v>
      </c>
      <c r="J176" s="83" t="s">
        <v>86</v>
      </c>
      <c r="K176" s="83" t="s">
        <v>86</v>
      </c>
      <c r="L176" s="83" t="s">
        <v>16</v>
      </c>
      <c r="M176" s="83" t="s">
        <v>86</v>
      </c>
      <c r="N176" s="83" t="s">
        <v>16</v>
      </c>
      <c r="O176" s="83" t="s">
        <v>16</v>
      </c>
      <c r="P176" s="83" t="s">
        <v>86</v>
      </c>
      <c r="Q176" s="32">
        <f t="shared" si="6"/>
        <v>43</v>
      </c>
      <c r="R176" s="26" t="s">
        <v>90</v>
      </c>
      <c r="S176" s="4" t="s">
        <v>113</v>
      </c>
      <c r="T176" s="4"/>
      <c r="U176" s="31" t="s">
        <v>321</v>
      </c>
    </row>
    <row r="177" spans="1:21" x14ac:dyDescent="0.25">
      <c r="A177" s="23">
        <v>111064</v>
      </c>
      <c r="B177" s="23" t="s">
        <v>752</v>
      </c>
      <c r="C177" s="23" t="s">
        <v>753</v>
      </c>
      <c r="D177" s="23" t="s">
        <v>749</v>
      </c>
      <c r="E177" s="23" t="s">
        <v>750</v>
      </c>
      <c r="F177" s="23"/>
      <c r="G177" s="23" t="s">
        <v>751</v>
      </c>
      <c r="H177" s="33"/>
      <c r="I177" s="26" t="s">
        <v>109</v>
      </c>
      <c r="J177" s="83" t="s">
        <v>86</v>
      </c>
      <c r="K177" s="83" t="s">
        <v>86</v>
      </c>
      <c r="L177" s="83" t="s">
        <v>86</v>
      </c>
      <c r="M177" s="83" t="s">
        <v>86</v>
      </c>
      <c r="N177" s="83" t="s">
        <v>86</v>
      </c>
      <c r="O177" s="83" t="s">
        <v>86</v>
      </c>
      <c r="P177" s="83" t="s">
        <v>86</v>
      </c>
      <c r="Q177" s="32">
        <f t="shared" si="6"/>
        <v>5</v>
      </c>
      <c r="R177" s="26" t="s">
        <v>90</v>
      </c>
      <c r="S177" s="4" t="s">
        <v>113</v>
      </c>
      <c r="T177" s="4" t="s">
        <v>321</v>
      </c>
      <c r="U177" s="31"/>
    </row>
    <row r="178" spans="1:21" x14ac:dyDescent="0.25">
      <c r="A178" s="23">
        <v>112002</v>
      </c>
      <c r="B178" s="23" t="s">
        <v>770</v>
      </c>
      <c r="C178" s="23" t="s">
        <v>357</v>
      </c>
      <c r="D178" s="23" t="s">
        <v>771</v>
      </c>
      <c r="E178" s="23"/>
      <c r="F178" s="23"/>
      <c r="G178" s="23" t="s">
        <v>772</v>
      </c>
      <c r="H178" s="33"/>
      <c r="I178" s="26" t="s">
        <v>109</v>
      </c>
      <c r="J178" s="83"/>
      <c r="K178" s="83" t="s">
        <v>86</v>
      </c>
      <c r="L178" s="83" t="s">
        <v>86</v>
      </c>
      <c r="M178" s="83" t="s">
        <v>86</v>
      </c>
      <c r="N178" s="83" t="s">
        <v>86</v>
      </c>
      <c r="O178" s="83" t="s">
        <v>86</v>
      </c>
      <c r="P178" s="83" t="s">
        <v>86</v>
      </c>
      <c r="Q178" s="27">
        <f t="shared" si="6"/>
        <v>20</v>
      </c>
      <c r="R178" s="26" t="s">
        <v>90</v>
      </c>
      <c r="S178" s="4" t="s">
        <v>113</v>
      </c>
      <c r="T178" s="4"/>
      <c r="U178" s="31"/>
    </row>
    <row r="179" spans="1:21" x14ac:dyDescent="0.25">
      <c r="A179" s="23">
        <v>112004</v>
      </c>
      <c r="B179" s="23" t="s">
        <v>776</v>
      </c>
      <c r="C179" s="23" t="s">
        <v>777</v>
      </c>
      <c r="D179" s="23" t="s">
        <v>778</v>
      </c>
      <c r="E179" s="23"/>
      <c r="F179" s="23"/>
      <c r="G179" s="23" t="s">
        <v>779</v>
      </c>
      <c r="H179" s="33"/>
      <c r="I179" s="26" t="s">
        <v>109</v>
      </c>
      <c r="J179" s="83" t="s">
        <v>86</v>
      </c>
      <c r="K179" s="83" t="s">
        <v>86</v>
      </c>
      <c r="L179" s="83" t="s">
        <v>86</v>
      </c>
      <c r="M179" s="83" t="s">
        <v>86</v>
      </c>
      <c r="N179" s="83" t="s">
        <v>86</v>
      </c>
      <c r="O179" s="83" t="s">
        <v>86</v>
      </c>
      <c r="P179" s="83" t="s">
        <v>86</v>
      </c>
      <c r="Q179" s="27">
        <v>20</v>
      </c>
      <c r="R179" s="26" t="s">
        <v>103</v>
      </c>
      <c r="S179" s="4" t="s">
        <v>87</v>
      </c>
      <c r="T179" s="4"/>
      <c r="U179" s="31"/>
    </row>
    <row r="180" spans="1:21" x14ac:dyDescent="0.25">
      <c r="A180" s="23">
        <v>112005</v>
      </c>
      <c r="B180" s="23" t="s">
        <v>780</v>
      </c>
      <c r="C180" s="23" t="s">
        <v>335</v>
      </c>
      <c r="D180" s="23"/>
      <c r="E180" s="23"/>
      <c r="F180" s="23"/>
      <c r="G180" s="23"/>
      <c r="H180" s="33"/>
      <c r="I180" s="26" t="s">
        <v>109</v>
      </c>
      <c r="J180" s="83" t="s">
        <v>86</v>
      </c>
      <c r="K180" s="83" t="s">
        <v>86</v>
      </c>
      <c r="L180" s="83" t="s">
        <v>86</v>
      </c>
      <c r="M180" s="83" t="s">
        <v>86</v>
      </c>
      <c r="N180" s="83" t="s">
        <v>86</v>
      </c>
      <c r="O180" s="83" t="s">
        <v>86</v>
      </c>
      <c r="P180" s="83" t="s">
        <v>86</v>
      </c>
      <c r="Q180" s="27">
        <v>20</v>
      </c>
      <c r="R180" s="26" t="s">
        <v>90</v>
      </c>
      <c r="S180" s="4" t="s">
        <v>87</v>
      </c>
      <c r="T180" s="4"/>
      <c r="U180" s="31"/>
    </row>
    <row r="181" spans="1:21" x14ac:dyDescent="0.25">
      <c r="A181" s="23"/>
      <c r="B181" s="23"/>
      <c r="C181" s="23"/>
      <c r="D181" s="23"/>
      <c r="E181" s="23"/>
      <c r="F181" s="23"/>
      <c r="G181" s="23"/>
      <c r="H181" s="33"/>
      <c r="I181" s="26"/>
      <c r="J181" s="83"/>
      <c r="K181" s="83"/>
      <c r="L181" s="83"/>
      <c r="M181" s="83"/>
      <c r="N181" s="83"/>
      <c r="O181" s="83"/>
      <c r="P181" s="83"/>
      <c r="Q181" s="27"/>
      <c r="R181" s="26"/>
      <c r="S181" s="4"/>
      <c r="T181" s="4"/>
      <c r="U181" s="31"/>
    </row>
    <row r="182" spans="1:21" x14ac:dyDescent="0.25">
      <c r="A182" s="23"/>
      <c r="B182" s="23"/>
      <c r="C182" s="23"/>
      <c r="D182" s="23"/>
      <c r="E182" s="23"/>
      <c r="F182" s="23"/>
      <c r="G182" s="23"/>
      <c r="H182" s="33"/>
      <c r="I182" s="26"/>
      <c r="J182" s="83"/>
      <c r="K182" s="83"/>
      <c r="L182" s="83"/>
      <c r="M182" s="83"/>
      <c r="N182" s="83"/>
      <c r="O182" s="83"/>
      <c r="P182" s="83"/>
      <c r="Q182" s="27"/>
      <c r="R182" s="26"/>
      <c r="S182" s="4"/>
      <c r="T182" s="4"/>
      <c r="U182" s="31"/>
    </row>
    <row r="183" spans="1:21" x14ac:dyDescent="0.25">
      <c r="I183" s="1"/>
      <c r="J183" s="84"/>
      <c r="Q183" s="1"/>
      <c r="R183" s="1"/>
      <c r="S183" s="1"/>
      <c r="T183" s="1"/>
      <c r="U183">
        <f>COUNTIF(U2:U142,"x")</f>
        <v>71</v>
      </c>
    </row>
    <row r="184" spans="1:21" x14ac:dyDescent="0.25">
      <c r="I184" s="1"/>
      <c r="J184" s="84"/>
      <c r="Q184" s="1"/>
      <c r="R184" s="1"/>
      <c r="S184" s="1"/>
      <c r="T184" s="1"/>
    </row>
    <row r="185" spans="1:21" x14ac:dyDescent="0.25">
      <c r="I185" s="1"/>
      <c r="J185" s="84"/>
      <c r="Q185" s="1"/>
      <c r="R185" s="1"/>
      <c r="S185" s="1"/>
      <c r="T185" s="1"/>
    </row>
    <row r="186" spans="1:21" x14ac:dyDescent="0.25">
      <c r="I186" s="1"/>
      <c r="J186" s="84"/>
      <c r="Q186" s="1"/>
      <c r="R186" s="1"/>
      <c r="S186" s="1"/>
      <c r="T186" s="1"/>
    </row>
    <row r="187" spans="1:21" x14ac:dyDescent="0.25">
      <c r="I187" s="1"/>
      <c r="J187" s="84"/>
      <c r="Q187" s="1"/>
      <c r="R187" s="1"/>
      <c r="S187" s="1"/>
      <c r="T187" s="1"/>
    </row>
    <row r="188" spans="1:21" x14ac:dyDescent="0.25">
      <c r="I188" s="1"/>
      <c r="J188" s="84"/>
      <c r="Q188" s="1"/>
      <c r="R188" s="1"/>
      <c r="S188" s="1"/>
      <c r="T188" s="1"/>
    </row>
    <row r="189" spans="1:21" x14ac:dyDescent="0.25">
      <c r="I189" s="1"/>
      <c r="J189" s="84"/>
      <c r="Q189" s="1"/>
      <c r="R189" s="1"/>
      <c r="S189" s="1"/>
      <c r="T189" s="1"/>
    </row>
    <row r="190" spans="1:21" x14ac:dyDescent="0.25">
      <c r="I190" s="1"/>
      <c r="J190" s="84"/>
      <c r="Q190" s="1"/>
      <c r="R190" s="1"/>
      <c r="S190" s="1"/>
      <c r="T190" s="1"/>
    </row>
    <row r="191" spans="1:21" x14ac:dyDescent="0.25">
      <c r="I191" s="1"/>
      <c r="J191" s="84"/>
      <c r="Q191" s="1"/>
      <c r="R191" s="1"/>
      <c r="S191" s="1"/>
      <c r="T191" s="1"/>
    </row>
    <row r="192" spans="1:21" x14ac:dyDescent="0.25">
      <c r="I192" s="1"/>
      <c r="J192" s="84"/>
      <c r="Q192" s="1"/>
      <c r="R192" s="1"/>
      <c r="S192" s="1"/>
      <c r="T192" s="1"/>
    </row>
    <row r="193" spans="9:20" x14ac:dyDescent="0.25">
      <c r="I193" s="1"/>
      <c r="J193" s="84"/>
      <c r="Q193" s="1"/>
      <c r="R193" s="1"/>
      <c r="S193" s="1"/>
      <c r="T193" s="1"/>
    </row>
    <row r="194" spans="9:20" x14ac:dyDescent="0.25">
      <c r="I194" s="1"/>
      <c r="J194" s="84"/>
      <c r="Q194" s="1"/>
      <c r="R194" s="1"/>
      <c r="S194" s="1"/>
      <c r="T194" s="1"/>
    </row>
    <row r="195" spans="9:20" x14ac:dyDescent="0.25">
      <c r="I195" s="1"/>
      <c r="J195" s="84"/>
      <c r="Q195" s="1"/>
      <c r="R195" s="1"/>
      <c r="S195" s="1"/>
      <c r="T195" s="1"/>
    </row>
    <row r="196" spans="9:20" x14ac:dyDescent="0.25">
      <c r="I196" s="1"/>
      <c r="J196" s="84"/>
      <c r="Q196" s="1"/>
      <c r="R196" s="1"/>
      <c r="S196" s="1"/>
      <c r="T196" s="1"/>
    </row>
    <row r="197" spans="9:20" x14ac:dyDescent="0.25">
      <c r="I197" s="1"/>
      <c r="J197" s="84"/>
      <c r="Q197" s="1"/>
      <c r="R197" s="1"/>
      <c r="S197" s="1"/>
      <c r="T197" s="1"/>
    </row>
    <row r="198" spans="9:20" x14ac:dyDescent="0.25">
      <c r="I198" s="1"/>
      <c r="J198" s="84"/>
      <c r="Q198" s="1"/>
      <c r="R198" s="1"/>
      <c r="S198" s="1"/>
      <c r="T198" s="1"/>
    </row>
    <row r="199" spans="9:20" x14ac:dyDescent="0.25">
      <c r="I199" s="1"/>
      <c r="J199" s="84"/>
      <c r="Q199" s="1"/>
      <c r="R199" s="1"/>
      <c r="S199" s="1"/>
      <c r="T199" s="1"/>
    </row>
    <row r="200" spans="9:20" x14ac:dyDescent="0.25">
      <c r="I200" s="1"/>
      <c r="J200" s="84"/>
      <c r="Q200" s="1"/>
      <c r="R200" s="1"/>
      <c r="S200" s="1"/>
      <c r="T200" s="1"/>
    </row>
    <row r="201" spans="9:20" x14ac:dyDescent="0.25">
      <c r="I201" s="1"/>
      <c r="J201" s="84"/>
      <c r="Q201" s="1"/>
      <c r="R201" s="1"/>
      <c r="S201" s="1"/>
      <c r="T201" s="1"/>
    </row>
    <row r="202" spans="9:20" x14ac:dyDescent="0.25">
      <c r="I202" s="1"/>
      <c r="J202" s="84"/>
      <c r="Q202" s="1"/>
      <c r="R202" s="1"/>
      <c r="S202" s="1"/>
      <c r="T202" s="1"/>
    </row>
    <row r="203" spans="9:20" x14ac:dyDescent="0.25">
      <c r="I203" s="1"/>
      <c r="J203" s="84"/>
      <c r="Q203" s="1"/>
      <c r="R203" s="1"/>
      <c r="S203" s="1"/>
      <c r="T203" s="1"/>
    </row>
    <row r="204" spans="9:20" x14ac:dyDescent="0.25">
      <c r="I204" s="1"/>
      <c r="J204" s="84"/>
      <c r="Q204" s="1"/>
      <c r="R204" s="1"/>
      <c r="S204" s="1"/>
      <c r="T204" s="1"/>
    </row>
    <row r="205" spans="9:20" x14ac:dyDescent="0.25">
      <c r="I205" s="1"/>
      <c r="J205" s="84"/>
      <c r="Q205" s="1"/>
      <c r="R205" s="1"/>
      <c r="S205" s="1"/>
      <c r="T205" s="1"/>
    </row>
    <row r="206" spans="9:20" x14ac:dyDescent="0.25">
      <c r="I206" s="1"/>
      <c r="J206" s="84"/>
      <c r="Q206" s="1"/>
      <c r="R206" s="1"/>
      <c r="S206" s="1"/>
      <c r="T206" s="1"/>
    </row>
    <row r="207" spans="9:20" x14ac:dyDescent="0.25">
      <c r="I207" s="1"/>
      <c r="J207" s="84"/>
      <c r="Q207" s="1"/>
      <c r="R207" s="1"/>
      <c r="S207" s="1"/>
      <c r="T207" s="1"/>
    </row>
    <row r="208" spans="9:20" x14ac:dyDescent="0.25">
      <c r="I208" s="1"/>
      <c r="J208" s="84"/>
      <c r="Q208" s="1"/>
      <c r="R208" s="1"/>
      <c r="S208" s="1"/>
      <c r="T208" s="1"/>
    </row>
    <row r="209" spans="9:20" x14ac:dyDescent="0.25">
      <c r="I209" s="1"/>
      <c r="J209" s="84"/>
      <c r="Q209" s="1"/>
      <c r="R209" s="1"/>
      <c r="S209" s="1"/>
      <c r="T209" s="1"/>
    </row>
    <row r="210" spans="9:20" x14ac:dyDescent="0.25">
      <c r="I210" s="1"/>
      <c r="J210" s="84"/>
      <c r="Q210" s="1"/>
      <c r="R210" s="1"/>
      <c r="S210" s="1"/>
      <c r="T210" s="1"/>
    </row>
    <row r="211" spans="9:20" x14ac:dyDescent="0.25">
      <c r="I211" s="1"/>
      <c r="J211" s="84"/>
      <c r="Q211" s="1"/>
      <c r="R211" s="1"/>
      <c r="S211" s="1"/>
      <c r="T211" s="1"/>
    </row>
    <row r="212" spans="9:20" x14ac:dyDescent="0.25">
      <c r="I212" s="1"/>
      <c r="J212" s="84"/>
      <c r="Q212" s="1"/>
      <c r="R212" s="1"/>
      <c r="S212" s="1"/>
      <c r="T212" s="1"/>
    </row>
    <row r="213" spans="9:20" x14ac:dyDescent="0.25">
      <c r="I213" s="1"/>
      <c r="J213" s="84"/>
      <c r="Q213" s="1"/>
      <c r="R213" s="1"/>
      <c r="S213" s="1"/>
      <c r="T213" s="1"/>
    </row>
    <row r="214" spans="9:20" x14ac:dyDescent="0.25">
      <c r="I214" s="1"/>
      <c r="J214" s="84"/>
      <c r="Q214" s="1"/>
      <c r="R214" s="1"/>
      <c r="S214" s="1"/>
      <c r="T214" s="1"/>
    </row>
    <row r="215" spans="9:20" x14ac:dyDescent="0.25">
      <c r="I215" s="1"/>
      <c r="J215" s="84"/>
      <c r="Q215" s="1"/>
      <c r="R215" s="1"/>
      <c r="S215" s="1"/>
      <c r="T215" s="1"/>
    </row>
    <row r="216" spans="9:20" x14ac:dyDescent="0.25">
      <c r="I216" s="1"/>
      <c r="J216" s="84"/>
      <c r="Q216" s="1"/>
      <c r="R216" s="1"/>
      <c r="S216" s="1"/>
      <c r="T216" s="1"/>
    </row>
    <row r="217" spans="9:20" x14ac:dyDescent="0.25">
      <c r="I217" s="1"/>
      <c r="J217" s="84"/>
      <c r="Q217" s="1"/>
      <c r="R217" s="1"/>
      <c r="S217" s="1"/>
      <c r="T217" s="1"/>
    </row>
    <row r="218" spans="9:20" x14ac:dyDescent="0.25">
      <c r="I218" s="1"/>
      <c r="J218" s="84"/>
      <c r="Q218" s="1"/>
      <c r="R218" s="1"/>
      <c r="S218" s="1"/>
      <c r="T218" s="1"/>
    </row>
    <row r="219" spans="9:20" x14ac:dyDescent="0.25">
      <c r="I219" s="1"/>
      <c r="J219" s="84"/>
      <c r="Q219" s="1"/>
      <c r="R219" s="1"/>
      <c r="S219" s="1"/>
      <c r="T219" s="1"/>
    </row>
    <row r="220" spans="9:20" x14ac:dyDescent="0.25">
      <c r="I220" s="1"/>
      <c r="J220" s="84"/>
      <c r="Q220" s="1"/>
      <c r="R220" s="1"/>
      <c r="S220" s="1"/>
      <c r="T220" s="1"/>
    </row>
    <row r="221" spans="9:20" x14ac:dyDescent="0.25">
      <c r="I221" s="1"/>
      <c r="J221" s="84"/>
      <c r="Q221" s="1"/>
      <c r="R221" s="1"/>
      <c r="S221" s="1"/>
      <c r="T221" s="1"/>
    </row>
    <row r="222" spans="9:20" x14ac:dyDescent="0.25">
      <c r="I222" s="1"/>
      <c r="J222" s="84"/>
      <c r="Q222" s="1"/>
      <c r="R222" s="1"/>
      <c r="S222" s="1"/>
      <c r="T222" s="1"/>
    </row>
    <row r="223" spans="9:20" x14ac:dyDescent="0.25">
      <c r="I223" s="1"/>
      <c r="J223" s="84"/>
      <c r="Q223" s="1"/>
      <c r="R223" s="1"/>
      <c r="S223" s="1"/>
      <c r="T223" s="1"/>
    </row>
    <row r="224" spans="9:20" x14ac:dyDescent="0.25">
      <c r="I224" s="1"/>
      <c r="J224" s="84"/>
      <c r="Q224" s="1"/>
      <c r="R224" s="1"/>
      <c r="S224" s="1"/>
      <c r="T224" s="1"/>
    </row>
    <row r="225" spans="9:20" x14ac:dyDescent="0.25">
      <c r="I225" s="1"/>
      <c r="J225" s="84"/>
      <c r="Q225" s="1"/>
      <c r="R225" s="1"/>
      <c r="S225" s="1"/>
      <c r="T225" s="1"/>
    </row>
    <row r="226" spans="9:20" x14ac:dyDescent="0.25">
      <c r="I226" s="1"/>
      <c r="J226" s="84"/>
      <c r="Q226" s="1"/>
      <c r="R226" s="1"/>
      <c r="S226" s="1"/>
      <c r="T226" s="1"/>
    </row>
    <row r="227" spans="9:20" x14ac:dyDescent="0.25">
      <c r="I227" s="1"/>
      <c r="J227" s="84"/>
      <c r="Q227" s="1"/>
      <c r="R227" s="1"/>
      <c r="S227" s="1"/>
      <c r="T227" s="1"/>
    </row>
    <row r="228" spans="9:20" x14ac:dyDescent="0.25">
      <c r="I228" s="1"/>
      <c r="J228" s="84"/>
      <c r="Q228" s="1"/>
      <c r="R228" s="1"/>
      <c r="S228" s="1"/>
      <c r="T228" s="1"/>
    </row>
    <row r="229" spans="9:20" x14ac:dyDescent="0.25">
      <c r="I229" s="1"/>
      <c r="J229" s="84"/>
      <c r="Q229" s="1"/>
      <c r="R229" s="1"/>
      <c r="S229" s="1"/>
      <c r="T229" s="1"/>
    </row>
    <row r="230" spans="9:20" x14ac:dyDescent="0.25">
      <c r="I230" s="1"/>
      <c r="J230" s="84"/>
      <c r="Q230" s="1"/>
      <c r="R230" s="1"/>
      <c r="S230" s="1"/>
      <c r="T230" s="1"/>
    </row>
    <row r="231" spans="9:20" x14ac:dyDescent="0.25">
      <c r="I231" s="1"/>
      <c r="J231" s="84"/>
      <c r="Q231" s="1"/>
      <c r="R231" s="1"/>
      <c r="S231" s="1"/>
      <c r="T231" s="1"/>
    </row>
    <row r="232" spans="9:20" x14ac:dyDescent="0.25">
      <c r="I232" s="1"/>
      <c r="J232" s="84"/>
      <c r="Q232" s="1"/>
      <c r="R232" s="1"/>
      <c r="S232" s="1"/>
      <c r="T232" s="1"/>
    </row>
    <row r="233" spans="9:20" x14ac:dyDescent="0.25">
      <c r="I233" s="1"/>
      <c r="J233" s="84"/>
      <c r="Q233" s="1"/>
      <c r="R233" s="1"/>
      <c r="S233" s="1"/>
      <c r="T233" s="1"/>
    </row>
    <row r="234" spans="9:20" x14ac:dyDescent="0.25">
      <c r="I234" s="1"/>
      <c r="J234" s="84"/>
      <c r="Q234" s="1"/>
      <c r="R234" s="1"/>
      <c r="S234" s="1"/>
      <c r="T234" s="1"/>
    </row>
    <row r="235" spans="9:20" x14ac:dyDescent="0.25">
      <c r="I235" s="1"/>
      <c r="J235" s="84"/>
      <c r="Q235" s="1"/>
      <c r="R235" s="1"/>
      <c r="S235" s="1"/>
      <c r="T235" s="1"/>
    </row>
    <row r="236" spans="9:20" x14ac:dyDescent="0.25">
      <c r="I236" s="1"/>
      <c r="J236" s="84"/>
      <c r="Q236" s="1"/>
      <c r="R236" s="1"/>
      <c r="S236" s="1"/>
      <c r="T236" s="1"/>
    </row>
    <row r="237" spans="9:20" x14ac:dyDescent="0.25">
      <c r="I237" s="1"/>
      <c r="J237" s="84"/>
      <c r="Q237" s="1"/>
      <c r="R237" s="1"/>
      <c r="S237" s="1"/>
      <c r="T237" s="1"/>
    </row>
    <row r="238" spans="9:20" x14ac:dyDescent="0.25">
      <c r="I238" s="1"/>
      <c r="J238" s="84"/>
      <c r="Q238" s="1"/>
      <c r="R238" s="1"/>
      <c r="S238" s="1"/>
      <c r="T238" s="1"/>
    </row>
    <row r="239" spans="9:20" x14ac:dyDescent="0.25">
      <c r="I239" s="1"/>
      <c r="J239" s="84"/>
      <c r="Q239" s="1"/>
      <c r="R239" s="1"/>
      <c r="S239" s="1"/>
      <c r="T239" s="1"/>
    </row>
    <row r="240" spans="9:20" x14ac:dyDescent="0.25">
      <c r="I240" s="1"/>
      <c r="J240" s="84"/>
      <c r="Q240" s="1"/>
      <c r="R240" s="1"/>
      <c r="S240" s="1"/>
      <c r="T240" s="1"/>
    </row>
    <row r="241" spans="9:20" x14ac:dyDescent="0.25">
      <c r="I241" s="1"/>
      <c r="J241" s="84"/>
      <c r="Q241" s="1"/>
      <c r="R241" s="1"/>
      <c r="S241" s="1"/>
      <c r="T241" s="1"/>
    </row>
    <row r="242" spans="9:20" x14ac:dyDescent="0.25">
      <c r="I242" s="1"/>
      <c r="J242" s="84"/>
      <c r="Q242" s="1"/>
      <c r="R242" s="1"/>
      <c r="S242" s="1"/>
      <c r="T242" s="1"/>
    </row>
    <row r="243" spans="9:20" x14ac:dyDescent="0.25">
      <c r="I243" s="1"/>
      <c r="J243" s="84"/>
      <c r="Q243" s="1"/>
      <c r="R243" s="1"/>
      <c r="S243" s="1"/>
      <c r="T243" s="1"/>
    </row>
    <row r="244" spans="9:20" x14ac:dyDescent="0.25">
      <c r="I244" s="1"/>
      <c r="J244" s="84"/>
      <c r="Q244" s="1"/>
      <c r="R244" s="1"/>
      <c r="S244" s="1"/>
      <c r="T244" s="1"/>
    </row>
    <row r="245" spans="9:20" x14ac:dyDescent="0.25">
      <c r="I245" s="1"/>
      <c r="J245" s="84"/>
      <c r="Q245" s="1"/>
      <c r="R245" s="1"/>
      <c r="S245" s="1"/>
      <c r="T245" s="1"/>
    </row>
    <row r="246" spans="9:20" x14ac:dyDescent="0.25">
      <c r="I246" s="1"/>
      <c r="J246" s="84"/>
      <c r="Q246" s="1"/>
      <c r="R246" s="1"/>
      <c r="S246" s="1"/>
      <c r="T246" s="1"/>
    </row>
    <row r="247" spans="9:20" x14ac:dyDescent="0.25">
      <c r="I247" s="1"/>
      <c r="J247" s="84"/>
      <c r="Q247" s="1"/>
      <c r="R247" s="1"/>
      <c r="S247" s="1"/>
      <c r="T247" s="1"/>
    </row>
    <row r="248" spans="9:20" x14ac:dyDescent="0.25">
      <c r="I248" s="1"/>
      <c r="J248" s="84"/>
      <c r="Q248" s="1"/>
      <c r="R248" s="1"/>
      <c r="S248" s="1"/>
      <c r="T248" s="1"/>
    </row>
    <row r="249" spans="9:20" x14ac:dyDescent="0.25">
      <c r="I249" s="1"/>
      <c r="J249" s="84"/>
      <c r="Q249" s="1"/>
      <c r="R249" s="1"/>
      <c r="S249" s="1"/>
      <c r="T249" s="1"/>
    </row>
    <row r="250" spans="9:20" x14ac:dyDescent="0.25">
      <c r="I250" s="1"/>
      <c r="J250" s="84"/>
      <c r="Q250" s="1"/>
      <c r="R250" s="1"/>
      <c r="S250" s="1"/>
      <c r="T250" s="1"/>
    </row>
    <row r="251" spans="9:20" x14ac:dyDescent="0.25">
      <c r="I251" s="1"/>
      <c r="J251" s="84"/>
      <c r="Q251" s="1"/>
      <c r="R251" s="1"/>
      <c r="S251" s="1"/>
      <c r="T251" s="1"/>
    </row>
    <row r="252" spans="9:20" x14ac:dyDescent="0.25">
      <c r="I252" s="1"/>
      <c r="J252" s="84"/>
      <c r="Q252" s="1"/>
      <c r="R252" s="1"/>
      <c r="S252" s="1"/>
      <c r="T252" s="1"/>
    </row>
    <row r="253" spans="9:20" x14ac:dyDescent="0.25">
      <c r="I253" s="1"/>
      <c r="J253" s="84"/>
      <c r="Q253" s="1"/>
      <c r="R253" s="1"/>
      <c r="S253" s="1"/>
      <c r="T253" s="1"/>
    </row>
    <row r="254" spans="9:20" x14ac:dyDescent="0.25">
      <c r="I254" s="1"/>
      <c r="J254" s="84"/>
      <c r="Q254" s="1"/>
      <c r="R254" s="1"/>
      <c r="S254" s="1"/>
      <c r="T254" s="1"/>
    </row>
    <row r="255" spans="9:20" x14ac:dyDescent="0.25">
      <c r="I255" s="1"/>
      <c r="J255" s="84"/>
      <c r="Q255" s="1"/>
      <c r="R255" s="1"/>
      <c r="S255" s="1"/>
      <c r="T255" s="1"/>
    </row>
    <row r="256" spans="9:20" x14ac:dyDescent="0.25">
      <c r="I256" s="1"/>
      <c r="J256" s="84"/>
      <c r="Q256" s="1"/>
      <c r="R256" s="1"/>
      <c r="S256" s="1"/>
      <c r="T256" s="1"/>
    </row>
    <row r="257" spans="9:20" x14ac:dyDescent="0.25">
      <c r="I257" s="1"/>
      <c r="J257" s="84"/>
      <c r="Q257" s="1"/>
      <c r="R257" s="1"/>
      <c r="S257" s="1"/>
      <c r="T257" s="1"/>
    </row>
    <row r="258" spans="9:20" x14ac:dyDescent="0.25">
      <c r="I258" s="1"/>
      <c r="J258" s="84"/>
      <c r="Q258" s="1"/>
      <c r="R258" s="1"/>
      <c r="S258" s="1"/>
      <c r="T258" s="1"/>
    </row>
    <row r="259" spans="9:20" x14ac:dyDescent="0.25">
      <c r="I259" s="1"/>
      <c r="J259" s="84"/>
      <c r="Q259" s="1"/>
      <c r="R259" s="1"/>
      <c r="S259" s="1"/>
      <c r="T259" s="1"/>
    </row>
    <row r="260" spans="9:20" x14ac:dyDescent="0.25">
      <c r="I260" s="1"/>
      <c r="J260" s="84"/>
      <c r="Q260" s="1"/>
      <c r="R260" s="1"/>
      <c r="S260" s="1"/>
      <c r="T260" s="1"/>
    </row>
    <row r="261" spans="9:20" x14ac:dyDescent="0.25">
      <c r="I261" s="1"/>
      <c r="J261" s="84"/>
      <c r="Q261" s="1"/>
      <c r="R261" s="1"/>
      <c r="S261" s="1"/>
      <c r="T261" s="1"/>
    </row>
    <row r="262" spans="9:20" x14ac:dyDescent="0.25">
      <c r="I262" s="1"/>
      <c r="J262" s="84"/>
      <c r="Q262" s="1"/>
      <c r="R262" s="1"/>
      <c r="S262" s="1"/>
      <c r="T262" s="1"/>
    </row>
    <row r="263" spans="9:20" x14ac:dyDescent="0.25">
      <c r="I263" s="1"/>
      <c r="J263" s="84"/>
      <c r="Q263" s="1"/>
      <c r="R263" s="1"/>
      <c r="S263" s="1"/>
      <c r="T263" s="1"/>
    </row>
    <row r="264" spans="9:20" x14ac:dyDescent="0.25">
      <c r="I264" s="1"/>
      <c r="J264" s="84"/>
      <c r="Q264" s="1"/>
      <c r="R264" s="1"/>
      <c r="S264" s="1"/>
      <c r="T264" s="1"/>
    </row>
    <row r="265" spans="9:20" x14ac:dyDescent="0.25">
      <c r="I265" s="1"/>
      <c r="J265" s="84"/>
      <c r="Q265" s="1"/>
      <c r="R265" s="1"/>
      <c r="S265" s="1"/>
      <c r="T265" s="1"/>
    </row>
    <row r="266" spans="9:20" x14ac:dyDescent="0.25">
      <c r="I266" s="1"/>
      <c r="J266" s="84"/>
      <c r="Q266" s="1"/>
      <c r="R266" s="1"/>
      <c r="S266" s="1"/>
      <c r="T266" s="1"/>
    </row>
    <row r="267" spans="9:20" x14ac:dyDescent="0.25">
      <c r="I267" s="1"/>
      <c r="J267" s="84"/>
      <c r="Q267" s="1"/>
      <c r="R267" s="1"/>
      <c r="S267" s="1"/>
      <c r="T267" s="1"/>
    </row>
    <row r="268" spans="9:20" x14ac:dyDescent="0.25">
      <c r="I268" s="1"/>
      <c r="J268" s="84"/>
      <c r="Q268" s="1"/>
      <c r="R268" s="1"/>
      <c r="S268" s="1"/>
      <c r="T268" s="1"/>
    </row>
    <row r="269" spans="9:20" x14ac:dyDescent="0.25">
      <c r="I269" s="1"/>
      <c r="J269" s="84"/>
      <c r="Q269" s="1"/>
      <c r="R269" s="1"/>
      <c r="S269" s="1"/>
      <c r="T269" s="1"/>
    </row>
    <row r="270" spans="9:20" x14ac:dyDescent="0.25">
      <c r="I270" s="1"/>
      <c r="J270" s="84"/>
      <c r="Q270" s="1"/>
      <c r="R270" s="1"/>
      <c r="S270" s="1"/>
      <c r="T270" s="1"/>
    </row>
    <row r="271" spans="9:20" x14ac:dyDescent="0.25">
      <c r="I271" s="1"/>
      <c r="J271" s="84"/>
      <c r="Q271" s="1"/>
      <c r="R271" s="1"/>
      <c r="S271" s="1"/>
      <c r="T271" s="1"/>
    </row>
    <row r="272" spans="9:20" x14ac:dyDescent="0.25">
      <c r="I272" s="1"/>
      <c r="J272" s="84"/>
      <c r="Q272" s="1"/>
      <c r="R272" s="1"/>
      <c r="S272" s="1"/>
      <c r="T272" s="1"/>
    </row>
    <row r="273" spans="9:20" x14ac:dyDescent="0.25">
      <c r="I273" s="1"/>
      <c r="J273" s="84"/>
      <c r="Q273" s="1"/>
      <c r="R273" s="1"/>
      <c r="S273" s="1"/>
      <c r="T273" s="1"/>
    </row>
    <row r="274" spans="9:20" x14ac:dyDescent="0.25">
      <c r="I274" s="1"/>
      <c r="J274" s="84"/>
      <c r="Q274" s="1"/>
      <c r="R274" s="1"/>
      <c r="S274" s="1"/>
      <c r="T274" s="1"/>
    </row>
    <row r="275" spans="9:20" x14ac:dyDescent="0.25">
      <c r="I275" s="1"/>
      <c r="J275" s="84"/>
      <c r="Q275" s="1"/>
      <c r="R275" s="1"/>
      <c r="S275" s="1"/>
      <c r="T275" s="1"/>
    </row>
    <row r="276" spans="9:20" x14ac:dyDescent="0.25">
      <c r="I276" s="1"/>
      <c r="J276" s="84"/>
      <c r="Q276" s="1"/>
      <c r="R276" s="1"/>
      <c r="S276" s="1"/>
      <c r="T276" s="1"/>
    </row>
    <row r="277" spans="9:20" x14ac:dyDescent="0.25">
      <c r="I277" s="1"/>
      <c r="J277" s="84"/>
      <c r="Q277" s="1"/>
      <c r="R277" s="1"/>
      <c r="S277" s="1"/>
      <c r="T277" s="1"/>
    </row>
    <row r="278" spans="9:20" x14ac:dyDescent="0.25">
      <c r="I278" s="1"/>
      <c r="J278" s="84"/>
      <c r="Q278" s="1"/>
      <c r="R278" s="1"/>
      <c r="S278" s="1"/>
      <c r="T278" s="1"/>
    </row>
    <row r="279" spans="9:20" x14ac:dyDescent="0.25">
      <c r="I279" s="1"/>
      <c r="J279" s="84"/>
      <c r="Q279" s="1"/>
      <c r="R279" s="1"/>
      <c r="S279" s="1"/>
      <c r="T279" s="1"/>
    </row>
    <row r="280" spans="9:20" x14ac:dyDescent="0.25">
      <c r="I280" s="1"/>
      <c r="J280" s="84"/>
      <c r="Q280" s="1"/>
      <c r="R280" s="1"/>
      <c r="S280" s="1"/>
      <c r="T280" s="1"/>
    </row>
    <row r="281" spans="9:20" x14ac:dyDescent="0.25">
      <c r="I281" s="1"/>
      <c r="J281" s="84"/>
      <c r="Q281" s="1"/>
      <c r="R281" s="1"/>
      <c r="S281" s="1"/>
      <c r="T281" s="1"/>
    </row>
    <row r="282" spans="9:20" x14ac:dyDescent="0.25">
      <c r="I282" s="1"/>
      <c r="J282" s="84"/>
      <c r="Q282" s="1"/>
      <c r="R282" s="1"/>
      <c r="S282" s="1"/>
      <c r="T282" s="1"/>
    </row>
    <row r="283" spans="9:20" x14ac:dyDescent="0.25">
      <c r="I283" s="1"/>
      <c r="J283" s="84"/>
      <c r="Q283" s="1"/>
      <c r="R283" s="1"/>
      <c r="S283" s="1"/>
      <c r="T283" s="1"/>
    </row>
    <row r="284" spans="9:20" x14ac:dyDescent="0.25">
      <c r="I284" s="1"/>
      <c r="J284" s="84"/>
      <c r="Q284" s="1"/>
      <c r="R284" s="1"/>
      <c r="S284" s="1"/>
      <c r="T284" s="1"/>
    </row>
    <row r="285" spans="9:20" x14ac:dyDescent="0.25">
      <c r="I285" s="1"/>
      <c r="J285" s="84"/>
      <c r="Q285" s="1"/>
      <c r="R285" s="1"/>
      <c r="S285" s="1"/>
      <c r="T285" s="1"/>
    </row>
    <row r="286" spans="9:20" x14ac:dyDescent="0.25">
      <c r="I286" s="1"/>
      <c r="J286" s="84"/>
      <c r="Q286" s="1"/>
      <c r="R286" s="1"/>
      <c r="S286" s="1"/>
      <c r="T286" s="1"/>
    </row>
    <row r="287" spans="9:20" x14ac:dyDescent="0.25">
      <c r="I287" s="1"/>
      <c r="J287" s="84"/>
      <c r="Q287" s="1"/>
      <c r="R287" s="1"/>
      <c r="S287" s="1"/>
      <c r="T287" s="1"/>
    </row>
    <row r="288" spans="9:20" x14ac:dyDescent="0.25">
      <c r="I288" s="1"/>
      <c r="J288" s="84"/>
      <c r="Q288" s="1"/>
      <c r="R288" s="1"/>
      <c r="S288" s="1"/>
      <c r="T288" s="1"/>
    </row>
    <row r="289" spans="9:20" x14ac:dyDescent="0.25">
      <c r="I289" s="1"/>
      <c r="J289" s="84"/>
      <c r="Q289" s="1"/>
      <c r="R289" s="1"/>
      <c r="S289" s="1"/>
      <c r="T289" s="1"/>
    </row>
    <row r="290" spans="9:20" x14ac:dyDescent="0.25">
      <c r="I290" s="1"/>
      <c r="J290" s="84"/>
      <c r="Q290" s="1"/>
      <c r="R290" s="1"/>
      <c r="S290" s="1"/>
      <c r="T290" s="1"/>
    </row>
    <row r="291" spans="9:20" x14ac:dyDescent="0.25">
      <c r="I291" s="1"/>
      <c r="J291" s="84"/>
      <c r="Q291" s="1"/>
      <c r="R291" s="1"/>
      <c r="S291" s="1"/>
      <c r="T291" s="1"/>
    </row>
    <row r="292" spans="9:20" x14ac:dyDescent="0.25">
      <c r="I292" s="1"/>
      <c r="J292" s="84"/>
      <c r="Q292" s="1"/>
      <c r="R292" s="1"/>
      <c r="S292" s="1"/>
      <c r="T292" s="1"/>
    </row>
    <row r="293" spans="9:20" x14ac:dyDescent="0.25">
      <c r="I293" s="1"/>
      <c r="J293" s="84"/>
      <c r="Q293" s="1"/>
      <c r="R293" s="1"/>
      <c r="S293" s="1"/>
      <c r="T293" s="1"/>
    </row>
    <row r="294" spans="9:20" x14ac:dyDescent="0.25">
      <c r="I294" s="1"/>
      <c r="J294" s="84"/>
      <c r="Q294" s="1"/>
      <c r="R294" s="1"/>
      <c r="S294" s="1"/>
      <c r="T294" s="1"/>
    </row>
    <row r="295" spans="9:20" x14ac:dyDescent="0.25">
      <c r="I295" s="1"/>
      <c r="J295" s="84"/>
      <c r="Q295" s="1"/>
      <c r="R295" s="1"/>
      <c r="S295" s="1"/>
      <c r="T295" s="1"/>
    </row>
    <row r="296" spans="9:20" x14ac:dyDescent="0.25">
      <c r="I296" s="1"/>
      <c r="J296" s="84"/>
      <c r="Q296" s="1"/>
      <c r="R296" s="1"/>
      <c r="S296" s="1"/>
      <c r="T296" s="1"/>
    </row>
    <row r="297" spans="9:20" x14ac:dyDescent="0.25">
      <c r="I297" s="1"/>
      <c r="J297" s="84"/>
      <c r="Q297" s="1"/>
      <c r="R297" s="1"/>
      <c r="S297" s="1"/>
      <c r="T297" s="1"/>
    </row>
    <row r="298" spans="9:20" x14ac:dyDescent="0.25">
      <c r="I298" s="1"/>
      <c r="J298" s="84"/>
      <c r="Q298" s="1"/>
      <c r="R298" s="1"/>
      <c r="S298" s="1"/>
      <c r="T298" s="1"/>
    </row>
    <row r="299" spans="9:20" x14ac:dyDescent="0.25">
      <c r="I299" s="1"/>
      <c r="J299" s="84"/>
      <c r="Q299" s="1"/>
      <c r="R299" s="1"/>
      <c r="S299" s="1"/>
      <c r="T299" s="1"/>
    </row>
    <row r="300" spans="9:20" x14ac:dyDescent="0.25">
      <c r="I300" s="1"/>
      <c r="J300" s="84"/>
      <c r="Q300" s="1"/>
      <c r="R300" s="1"/>
      <c r="S300" s="1"/>
      <c r="T300" s="1"/>
    </row>
    <row r="301" spans="9:20" x14ac:dyDescent="0.25">
      <c r="I301" s="1"/>
      <c r="J301" s="84"/>
      <c r="Q301" s="1"/>
      <c r="R301" s="1"/>
      <c r="S301" s="1"/>
      <c r="T301" s="1"/>
    </row>
    <row r="302" spans="9:20" x14ac:dyDescent="0.25">
      <c r="I302" s="1"/>
      <c r="J302" s="84"/>
      <c r="Q302" s="1"/>
      <c r="R302" s="1"/>
      <c r="S302" s="1"/>
      <c r="T302" s="1"/>
    </row>
    <row r="303" spans="9:20" x14ac:dyDescent="0.25">
      <c r="I303" s="1"/>
      <c r="J303" s="84"/>
      <c r="Q303" s="1"/>
      <c r="R303" s="1"/>
      <c r="S303" s="1"/>
      <c r="T303" s="1"/>
    </row>
    <row r="304" spans="9:20" x14ac:dyDescent="0.25">
      <c r="I304" s="1"/>
      <c r="J304" s="84"/>
      <c r="Q304" s="1"/>
      <c r="R304" s="1"/>
      <c r="S304" s="1"/>
      <c r="T304" s="1"/>
    </row>
    <row r="305" spans="9:20" x14ac:dyDescent="0.25">
      <c r="I305" s="1"/>
      <c r="J305" s="84"/>
      <c r="Q305" s="1"/>
      <c r="R305" s="1"/>
      <c r="S305" s="1"/>
      <c r="T305" s="1"/>
    </row>
    <row r="306" spans="9:20" x14ac:dyDescent="0.25">
      <c r="I306" s="1"/>
      <c r="J306" s="84"/>
      <c r="Q306" s="1"/>
      <c r="R306" s="1"/>
      <c r="S306" s="1"/>
      <c r="T306" s="1"/>
    </row>
    <row r="307" spans="9:20" x14ac:dyDescent="0.25">
      <c r="I307" s="1"/>
      <c r="J307" s="84"/>
      <c r="Q307" s="1"/>
      <c r="R307" s="1"/>
      <c r="S307" s="1"/>
      <c r="T307" s="1"/>
    </row>
    <row r="308" spans="9:20" x14ac:dyDescent="0.25">
      <c r="I308" s="1"/>
      <c r="J308" s="84"/>
      <c r="Q308" s="1"/>
      <c r="R308" s="1"/>
      <c r="S308" s="1"/>
      <c r="T308" s="1"/>
    </row>
    <row r="309" spans="9:20" x14ac:dyDescent="0.25">
      <c r="I309" s="1"/>
      <c r="J309" s="84"/>
      <c r="Q309" s="1"/>
      <c r="R309" s="1"/>
      <c r="S309" s="1"/>
      <c r="T309" s="1"/>
    </row>
    <row r="310" spans="9:20" x14ac:dyDescent="0.25">
      <c r="I310" s="1"/>
      <c r="J310" s="84"/>
      <c r="Q310" s="1"/>
      <c r="R310" s="1"/>
      <c r="S310" s="1"/>
      <c r="T310" s="1"/>
    </row>
    <row r="311" spans="9:20" x14ac:dyDescent="0.25">
      <c r="I311" s="1"/>
      <c r="J311" s="84"/>
      <c r="Q311" s="1"/>
      <c r="R311" s="1"/>
      <c r="S311" s="1"/>
      <c r="T311" s="1"/>
    </row>
    <row r="312" spans="9:20" x14ac:dyDescent="0.25">
      <c r="I312" s="1"/>
      <c r="J312" s="84"/>
      <c r="Q312" s="1"/>
      <c r="R312" s="1"/>
      <c r="S312" s="1"/>
      <c r="T312" s="1"/>
    </row>
    <row r="313" spans="9:20" x14ac:dyDescent="0.25">
      <c r="I313" s="1"/>
      <c r="J313" s="84"/>
      <c r="Q313" s="1"/>
      <c r="R313" s="1"/>
      <c r="S313" s="1"/>
      <c r="T313" s="1"/>
    </row>
    <row r="314" spans="9:20" x14ac:dyDescent="0.25">
      <c r="I314" s="1"/>
      <c r="J314" s="84"/>
      <c r="Q314" s="1"/>
      <c r="R314" s="1"/>
      <c r="S314" s="1"/>
      <c r="T314" s="1"/>
    </row>
    <row r="315" spans="9:20" x14ac:dyDescent="0.25">
      <c r="I315" s="1"/>
      <c r="J315" s="84"/>
      <c r="Q315" s="1"/>
      <c r="R315" s="1"/>
      <c r="S315" s="1"/>
      <c r="T315" s="1"/>
    </row>
    <row r="316" spans="9:20" x14ac:dyDescent="0.25">
      <c r="I316" s="1"/>
      <c r="J316" s="84"/>
      <c r="Q316" s="1"/>
      <c r="R316" s="1"/>
      <c r="S316" s="1"/>
      <c r="T316" s="1"/>
    </row>
    <row r="317" spans="9:20" x14ac:dyDescent="0.25">
      <c r="I317" s="1"/>
      <c r="J317" s="84"/>
      <c r="Q317" s="1"/>
      <c r="R317" s="1"/>
      <c r="S317" s="1"/>
      <c r="T317" s="1"/>
    </row>
    <row r="318" spans="9:20" x14ac:dyDescent="0.25">
      <c r="I318" s="1"/>
      <c r="J318" s="84"/>
      <c r="Q318" s="1"/>
      <c r="R318" s="1"/>
      <c r="S318" s="1"/>
      <c r="T318" s="1"/>
    </row>
    <row r="319" spans="9:20" x14ac:dyDescent="0.25">
      <c r="I319" s="1"/>
      <c r="J319" s="84"/>
      <c r="Q319" s="1"/>
      <c r="R319" s="1"/>
      <c r="S319" s="1"/>
      <c r="T319" s="1"/>
    </row>
    <row r="320" spans="9:20" x14ac:dyDescent="0.25">
      <c r="I320" s="1"/>
      <c r="J320" s="84"/>
      <c r="Q320" s="1"/>
      <c r="R320" s="1"/>
      <c r="S320" s="1"/>
      <c r="T320" s="1"/>
    </row>
    <row r="321" spans="9:20" x14ac:dyDescent="0.25">
      <c r="I321" s="1"/>
      <c r="J321" s="84"/>
      <c r="Q321" s="1"/>
      <c r="R321" s="1"/>
      <c r="S321" s="1"/>
      <c r="T321" s="1"/>
    </row>
    <row r="322" spans="9:20" x14ac:dyDescent="0.25">
      <c r="I322" s="1"/>
      <c r="J322" s="84"/>
      <c r="Q322" s="1"/>
      <c r="R322" s="1"/>
      <c r="S322" s="1"/>
      <c r="T322" s="1"/>
    </row>
    <row r="323" spans="9:20" x14ac:dyDescent="0.25">
      <c r="I323" s="1"/>
      <c r="J323" s="84"/>
      <c r="Q323" s="1"/>
      <c r="R323" s="1"/>
      <c r="S323" s="1"/>
      <c r="T323" s="1"/>
    </row>
    <row r="324" spans="9:20" x14ac:dyDescent="0.25">
      <c r="I324" s="1"/>
      <c r="J324" s="84"/>
      <c r="Q324" s="1"/>
      <c r="R324" s="1"/>
      <c r="S324" s="1"/>
      <c r="T324" s="1"/>
    </row>
    <row r="325" spans="9:20" x14ac:dyDescent="0.25">
      <c r="I325" s="1"/>
      <c r="J325" s="84"/>
      <c r="Q325" s="1"/>
      <c r="R325" s="1"/>
      <c r="S325" s="1"/>
      <c r="T325" s="1"/>
    </row>
    <row r="326" spans="9:20" x14ac:dyDescent="0.25">
      <c r="I326" s="1"/>
      <c r="J326" s="84"/>
      <c r="Q326" s="1"/>
      <c r="R326" s="1"/>
      <c r="S326" s="1"/>
      <c r="T326" s="1"/>
    </row>
    <row r="327" spans="9:20" x14ac:dyDescent="0.25">
      <c r="I327" s="1"/>
      <c r="J327" s="84"/>
      <c r="Q327" s="1"/>
      <c r="R327" s="1"/>
      <c r="S327" s="1"/>
      <c r="T327" s="1"/>
    </row>
    <row r="328" spans="9:20" x14ac:dyDescent="0.25">
      <c r="I328" s="1"/>
      <c r="J328" s="84"/>
      <c r="Q328" s="1"/>
      <c r="R328" s="1"/>
      <c r="S328" s="1"/>
      <c r="T328" s="1"/>
    </row>
    <row r="329" spans="9:20" x14ac:dyDescent="0.25">
      <c r="I329" s="1"/>
      <c r="J329" s="84"/>
      <c r="Q329" s="1"/>
      <c r="R329" s="1"/>
      <c r="S329" s="1"/>
      <c r="T329" s="1"/>
    </row>
    <row r="330" spans="9:20" x14ac:dyDescent="0.25">
      <c r="I330" s="1"/>
      <c r="J330" s="84"/>
      <c r="Q330" s="1"/>
      <c r="R330" s="1"/>
      <c r="S330" s="1"/>
      <c r="T330" s="1"/>
    </row>
    <row r="331" spans="9:20" x14ac:dyDescent="0.25">
      <c r="I331" s="1"/>
      <c r="J331" s="84"/>
      <c r="Q331" s="1"/>
      <c r="R331" s="1"/>
      <c r="S331" s="1"/>
      <c r="T331" s="1"/>
    </row>
    <row r="332" spans="9:20" x14ac:dyDescent="0.25">
      <c r="I332" s="1"/>
      <c r="J332" s="84"/>
      <c r="Q332" s="1"/>
      <c r="R332" s="1"/>
      <c r="S332" s="1"/>
      <c r="T332" s="1"/>
    </row>
    <row r="333" spans="9:20" x14ac:dyDescent="0.25">
      <c r="I333" s="1"/>
      <c r="J333" s="84"/>
      <c r="Q333" s="1"/>
      <c r="R333" s="1"/>
      <c r="S333" s="1"/>
      <c r="T333" s="1"/>
    </row>
    <row r="334" spans="9:20" x14ac:dyDescent="0.25">
      <c r="I334" s="1"/>
      <c r="J334" s="84"/>
      <c r="Q334" s="1"/>
      <c r="R334" s="1"/>
      <c r="S334" s="1"/>
      <c r="T334" s="1"/>
    </row>
    <row r="335" spans="9:20" x14ac:dyDescent="0.25">
      <c r="I335" s="1"/>
      <c r="J335" s="84"/>
      <c r="Q335" s="1"/>
      <c r="R335" s="1"/>
      <c r="S335" s="1"/>
      <c r="T335" s="1"/>
    </row>
    <row r="336" spans="9:20" x14ac:dyDescent="0.25">
      <c r="I336" s="1"/>
      <c r="J336" s="84"/>
      <c r="Q336" s="1"/>
      <c r="R336" s="1"/>
      <c r="S336" s="1"/>
      <c r="T336" s="1"/>
    </row>
    <row r="337" spans="9:20" x14ac:dyDescent="0.25">
      <c r="I337" s="1"/>
      <c r="J337" s="84"/>
      <c r="Q337" s="1"/>
      <c r="R337" s="1"/>
      <c r="S337" s="1"/>
      <c r="T337" s="1"/>
    </row>
    <row r="338" spans="9:20" x14ac:dyDescent="0.25">
      <c r="I338" s="1"/>
      <c r="J338" s="84"/>
      <c r="Q338" s="1"/>
      <c r="R338" s="1"/>
      <c r="S338" s="1"/>
      <c r="T338" s="1"/>
    </row>
    <row r="339" spans="9:20" x14ac:dyDescent="0.25">
      <c r="I339" s="1"/>
      <c r="J339" s="84"/>
      <c r="Q339" s="1"/>
      <c r="R339" s="1"/>
      <c r="S339" s="1"/>
      <c r="T339" s="1"/>
    </row>
    <row r="340" spans="9:20" x14ac:dyDescent="0.25">
      <c r="I340" s="1"/>
      <c r="J340" s="84"/>
      <c r="Q340" s="1"/>
      <c r="R340" s="1"/>
      <c r="S340" s="1"/>
      <c r="T340" s="1"/>
    </row>
    <row r="341" spans="9:20" x14ac:dyDescent="0.25">
      <c r="I341" s="1"/>
      <c r="J341" s="84"/>
      <c r="Q341" s="1"/>
      <c r="R341" s="1"/>
      <c r="S341" s="1"/>
      <c r="T341" s="1"/>
    </row>
    <row r="342" spans="9:20" x14ac:dyDescent="0.25">
      <c r="I342" s="1"/>
      <c r="J342" s="84"/>
      <c r="Q342" s="1"/>
      <c r="R342" s="1"/>
      <c r="S342" s="1"/>
      <c r="T342" s="1"/>
    </row>
    <row r="343" spans="9:20" x14ac:dyDescent="0.25">
      <c r="I343" s="1"/>
      <c r="J343" s="84"/>
      <c r="Q343" s="1"/>
      <c r="R343" s="1"/>
      <c r="S343" s="1"/>
      <c r="T343" s="1"/>
    </row>
    <row r="344" spans="9:20" x14ac:dyDescent="0.25">
      <c r="I344" s="1"/>
      <c r="J344" s="84"/>
      <c r="Q344" s="1"/>
      <c r="R344" s="1"/>
      <c r="S344" s="1"/>
      <c r="T344" s="1"/>
    </row>
    <row r="345" spans="9:20" x14ac:dyDescent="0.25">
      <c r="I345" s="1"/>
      <c r="J345" s="84"/>
      <c r="Q345" s="1"/>
      <c r="R345" s="1"/>
      <c r="S345" s="1"/>
      <c r="T345" s="1"/>
    </row>
  </sheetData>
  <autoFilter ref="A1:AH180">
    <sortState ref="A2:AH180">
      <sortCondition ref="H1:H180"/>
    </sortState>
  </autoFilter>
  <conditionalFormatting sqref="S3:T8 S143:T182 S100:T125 S10:T98">
    <cfRule type="containsText" dxfId="42" priority="53" operator="containsText" text="Payé">
      <formula>NOT(ISERROR(SEARCH("Payé",S3)))</formula>
    </cfRule>
    <cfRule type="containsText" dxfId="41" priority="54" operator="containsText" text="En attente">
      <formula>NOT(ISERROR(SEARCH("En attente",S3)))</formula>
    </cfRule>
  </conditionalFormatting>
  <conditionalFormatting sqref="S3:T8 S143:T182 S100:T125 S10:T98">
    <cfRule type="containsText" dxfId="40" priority="51" operator="containsText" text="Staff">
      <formula>NOT(ISERROR(SEARCH("Staff",S3)))</formula>
    </cfRule>
  </conditionalFormatting>
  <conditionalFormatting sqref="D15:G15 A13:P13 A10:G12 A14:G14 A77:E77 G77:P77 A94:D94 F94:P94 R2:U8 A164:C164 A2:P7 A8:G8 I8:P8 I10:P12 H8:H11 A16:G17 H14:P17 A95:P97 A98:G98 I98:P98 A103:P142 A144:G147 I144:U147 A148:U163 U143:U182 Q164:U172 A165:P172 Q173 A78:P93 R100:U142 A100:G102 I100:P102 H98:H102 A18:P76 Q174:R174 R10:U98 Q2:Q143 Q175:Q177">
    <cfRule type="expression" dxfId="39" priority="57">
      <formula>NOT(MOD(ROW(),2))</formula>
    </cfRule>
  </conditionalFormatting>
  <conditionalFormatting sqref="G124">
    <cfRule type="expression" dxfId="38" priority="52">
      <formula>NOT(MOD(ROW(),2))</formula>
    </cfRule>
  </conditionalFormatting>
  <conditionalFormatting sqref="S127:T132">
    <cfRule type="containsText" dxfId="37" priority="49" operator="containsText" text="Payé">
      <formula>NOT(ISERROR(SEARCH("Payé",S127)))</formula>
    </cfRule>
    <cfRule type="containsText" dxfId="36" priority="50" operator="containsText" text="En attente">
      <formula>NOT(ISERROR(SEARCH("En attente",S127)))</formula>
    </cfRule>
  </conditionalFormatting>
  <conditionalFormatting sqref="S127:T132">
    <cfRule type="containsText" dxfId="35" priority="45" operator="containsText" text="Staff">
      <formula>NOT(ISERROR(SEARCH("Staff",S127)))</formula>
    </cfRule>
  </conditionalFormatting>
  <conditionalFormatting sqref="U127:U130">
    <cfRule type="expression" dxfId="34" priority="47">
      <formula>NOT(MOD(ROW(),2))</formula>
    </cfRule>
  </conditionalFormatting>
  <conditionalFormatting sqref="U127:U132">
    <cfRule type="expression" dxfId="33" priority="46">
      <formula>NOT(MOD(ROW(),2))</formula>
    </cfRule>
  </conditionalFormatting>
  <conditionalFormatting sqref="S126:T126">
    <cfRule type="containsText" dxfId="32" priority="43" operator="containsText" text="Payé">
      <formula>NOT(ISERROR(SEARCH("Payé",S126)))</formula>
    </cfRule>
    <cfRule type="containsText" dxfId="31" priority="44" operator="containsText" text="En attente">
      <formula>NOT(ISERROR(SEARCH("En attente",S126)))</formula>
    </cfRule>
  </conditionalFormatting>
  <conditionalFormatting sqref="S126:T126">
    <cfRule type="containsText" dxfId="30" priority="39" operator="containsText" text="Staff">
      <formula>NOT(ISERROR(SEARCH("Staff",S126)))</formula>
    </cfRule>
  </conditionalFormatting>
  <conditionalFormatting sqref="U126">
    <cfRule type="expression" dxfId="29" priority="42">
      <formula>NOT(MOD(ROW(),2))</formula>
    </cfRule>
  </conditionalFormatting>
  <conditionalFormatting sqref="U126">
    <cfRule type="expression" dxfId="28" priority="41">
      <formula>NOT(MOD(ROW(),2))</formula>
    </cfRule>
  </conditionalFormatting>
  <conditionalFormatting sqref="R133:R142 A133:P142">
    <cfRule type="expression" dxfId="27" priority="40">
      <formula>NOT(MOD(ROW(),2))</formula>
    </cfRule>
  </conditionalFormatting>
  <conditionalFormatting sqref="S133:T142">
    <cfRule type="containsText" dxfId="26" priority="37" operator="containsText" text="Payé">
      <formula>NOT(ISERROR(SEARCH("Payé",S133)))</formula>
    </cfRule>
    <cfRule type="containsText" dxfId="25" priority="38" operator="containsText" text="En attente">
      <formula>NOT(ISERROR(SEARCH("En attente",S133)))</formula>
    </cfRule>
  </conditionalFormatting>
  <conditionalFormatting sqref="S133:T142">
    <cfRule type="containsText" dxfId="24" priority="32" operator="containsText" text="Staff">
      <formula>NOT(ISERROR(SEARCH("Staff",S133)))</formula>
    </cfRule>
  </conditionalFormatting>
  <conditionalFormatting sqref="U133:U142">
    <cfRule type="expression" dxfId="23" priority="36">
      <formula>NOT(MOD(ROW(),2))</formula>
    </cfRule>
  </conditionalFormatting>
  <conditionalFormatting sqref="S2:T2">
    <cfRule type="containsText" dxfId="22" priority="30" operator="containsText" text="Payé">
      <formula>NOT(ISERROR(SEARCH("Payé",S2)))</formula>
    </cfRule>
    <cfRule type="containsText" dxfId="21" priority="31" operator="containsText" text="En attente">
      <formula>NOT(ISERROR(SEARCH("En attente",S2)))</formula>
    </cfRule>
  </conditionalFormatting>
  <conditionalFormatting sqref="S2:T2">
    <cfRule type="containsText" dxfId="20" priority="27" operator="containsText" text="Staff">
      <formula>NOT(ISERROR(SEARCH("Staff",S2)))</formula>
    </cfRule>
  </conditionalFormatting>
  <conditionalFormatting sqref="A2:P2 R2 H3:H6">
    <cfRule type="expression" dxfId="19" priority="29">
      <formula>NOT(MOD(ROW(),2))</formula>
    </cfRule>
  </conditionalFormatting>
  <conditionalFormatting sqref="U2">
    <cfRule type="expression" dxfId="18" priority="28">
      <formula>NOT(MOD(ROW(),2))</formula>
    </cfRule>
  </conditionalFormatting>
  <conditionalFormatting sqref="S9:T9">
    <cfRule type="containsText" dxfId="17" priority="24" operator="containsText" text="Payé">
      <formula>NOT(ISERROR(SEARCH("Payé",S9)))</formula>
    </cfRule>
    <cfRule type="containsText" dxfId="16" priority="25" operator="containsText" text="En attente">
      <formula>NOT(ISERROR(SEARCH("En attente",S9)))</formula>
    </cfRule>
  </conditionalFormatting>
  <conditionalFormatting sqref="S9:T9">
    <cfRule type="containsText" dxfId="15" priority="15" operator="containsText" text="Staff">
      <formula>NOT(ISERROR(SEARCH("Staff",S9)))</formula>
    </cfRule>
  </conditionalFormatting>
  <conditionalFormatting sqref="A9:G9 H12 R9:U9 I9:P9">
    <cfRule type="expression" dxfId="14" priority="26">
      <formula>NOT(MOD(ROW(),2))</formula>
    </cfRule>
  </conditionalFormatting>
  <conditionalFormatting sqref="A15:C15">
    <cfRule type="expression" dxfId="13" priority="23">
      <formula>NOT(MOD(ROW(),2))</formula>
    </cfRule>
  </conditionalFormatting>
  <conditionalFormatting sqref="F77">
    <cfRule type="expression" dxfId="12" priority="18">
      <formula>NOT(MOD(ROW(),2))</formula>
    </cfRule>
  </conditionalFormatting>
  <conditionalFormatting sqref="E94">
    <cfRule type="expression" dxfId="11" priority="16">
      <formula>NOT(MOD(ROW(),2))</formula>
    </cfRule>
  </conditionalFormatting>
  <conditionalFormatting sqref="S99:T99">
    <cfRule type="containsText" dxfId="10" priority="12" operator="containsText" text="Payé">
      <formula>NOT(ISERROR(SEARCH("Payé",S99)))</formula>
    </cfRule>
    <cfRule type="containsText" dxfId="9" priority="13" operator="containsText" text="En attente">
      <formula>NOT(ISERROR(SEARCH("En attente",S99)))</formula>
    </cfRule>
  </conditionalFormatting>
  <conditionalFormatting sqref="S99:T99">
    <cfRule type="containsText" dxfId="8" priority="10" operator="containsText" text="Staff">
      <formula>NOT(ISERROR(SEARCH("Staff",S99)))</formula>
    </cfRule>
  </conditionalFormatting>
  <conditionalFormatting sqref="A99:G99 R99:U99 I99:P99">
    <cfRule type="expression" dxfId="7" priority="14">
      <formula>NOT(MOD(ROW(),2))</formula>
    </cfRule>
  </conditionalFormatting>
  <conditionalFormatting sqref="U99">
    <cfRule type="expression" dxfId="6" priority="11">
      <formula>NOT(MOD(ROW(),2))</formula>
    </cfRule>
  </conditionalFormatting>
  <conditionalFormatting sqref="A143:P143 R143:U143 D164:P164 A178:U182 H144:H147 A173:P173 R173:U173 A174 D174:P174 S174:U174 A175:C175 G175 I175:P175 A176:P177 R175:U177">
    <cfRule type="expression" dxfId="5" priority="58">
      <formula>NOT(MOD(ROW(),2))</formula>
    </cfRule>
  </conditionalFormatting>
  <conditionalFormatting sqref="A143:P143 R143 A178:R182 D164:P164 H144:H147 A173:P173 R173 A174 D174:P174 A175:C175 G175 I175:P175 A176:P177 R175:R177">
    <cfRule type="expression" dxfId="4" priority="9">
      <formula>NOT(MOD(ROW(),2))</formula>
    </cfRule>
  </conditionalFormatting>
  <conditionalFormatting sqref="B174:C174">
    <cfRule type="expression" dxfId="3" priority="4">
      <formula>NOT(MOD(ROW(),2))</formula>
    </cfRule>
  </conditionalFormatting>
  <conditionalFormatting sqref="D175:F175">
    <cfRule type="expression" dxfId="2" priority="3">
      <formula>NOT(MOD(ROW(),2))</formula>
    </cfRule>
  </conditionalFormatting>
  <conditionalFormatting sqref="D175:F175">
    <cfRule type="expression" dxfId="1" priority="2">
      <formula>NOT(MOD(ROW(),2))</formula>
    </cfRule>
  </conditionalFormatting>
  <conditionalFormatting sqref="H175">
    <cfRule type="expression" dxfId="0" priority="1">
      <formula>NOT(MOD(ROW(),2))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H12"/>
  <sheetViews>
    <sheetView topLeftCell="L1" workbookViewId="0">
      <selection activeCell="S2" sqref="S2"/>
    </sheetView>
  </sheetViews>
  <sheetFormatPr baseColWidth="10" defaultRowHeight="15" x14ac:dyDescent="0.25"/>
  <cols>
    <col min="1" max="1" width="10.7109375" bestFit="1" customWidth="1"/>
    <col min="2" max="2" width="4" bestFit="1" customWidth="1"/>
    <col min="3" max="3" width="17" bestFit="1" customWidth="1"/>
    <col min="4" max="4" width="9.140625" bestFit="1" customWidth="1"/>
    <col min="5" max="5" width="12.7109375" bestFit="1" customWidth="1"/>
    <col min="6" max="6" width="4.140625" bestFit="1" customWidth="1"/>
    <col min="7" max="7" width="16.5703125" bestFit="1" customWidth="1"/>
    <col min="8" max="8" width="25.28515625" bestFit="1" customWidth="1"/>
    <col min="9" max="9" width="28.140625" bestFit="1" customWidth="1"/>
    <col min="10" max="10" width="23.7109375" bestFit="1" customWidth="1"/>
    <col min="11" max="11" width="26.5703125" bestFit="1" customWidth="1"/>
    <col min="12" max="12" width="24.140625" bestFit="1" customWidth="1"/>
    <col min="13" max="13" width="27" bestFit="1" customWidth="1"/>
    <col min="14" max="14" width="24.28515625" bestFit="1" customWidth="1"/>
    <col min="15" max="15" width="27.140625" bestFit="1" customWidth="1"/>
    <col min="16" max="16" width="16.5703125" bestFit="1" customWidth="1"/>
    <col min="17" max="17" width="19.28515625" bestFit="1" customWidth="1"/>
    <col min="18" max="18" width="23.140625" bestFit="1" customWidth="1"/>
    <col min="19" max="19" width="15.7109375" bestFit="1" customWidth="1"/>
    <col min="20" max="20" width="64" bestFit="1" customWidth="1"/>
    <col min="21" max="21" width="23.140625" bestFit="1" customWidth="1"/>
    <col min="22" max="22" width="76.7109375" bestFit="1" customWidth="1"/>
    <col min="23" max="23" width="64" bestFit="1" customWidth="1"/>
    <col min="24" max="24" width="24.42578125" bestFit="1" customWidth="1"/>
    <col min="25" max="25" width="76.7109375" bestFit="1" customWidth="1"/>
    <col min="26" max="26" width="24.28515625" bestFit="1" customWidth="1"/>
    <col min="27" max="27" width="25.140625" bestFit="1" customWidth="1"/>
    <col min="28" max="28" width="24.85546875" bestFit="1" customWidth="1"/>
    <col min="29" max="29" width="24.42578125" bestFit="1" customWidth="1"/>
    <col min="30" max="30" width="24.140625" bestFit="1" customWidth="1"/>
    <col min="31" max="31" width="23.85546875" bestFit="1" customWidth="1"/>
    <col min="32" max="32" width="26.7109375" bestFit="1" customWidth="1"/>
    <col min="33" max="33" width="24.5703125" bestFit="1" customWidth="1"/>
    <col min="34" max="34" width="24.7109375" bestFit="1" customWidth="1"/>
  </cols>
  <sheetData>
    <row r="1" spans="1:34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3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  <c r="M1" t="s">
        <v>66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67</v>
      </c>
      <c r="Z1" t="s">
        <v>68</v>
      </c>
      <c r="AA1" t="s">
        <v>70</v>
      </c>
      <c r="AB1" t="s">
        <v>71</v>
      </c>
      <c r="AC1" t="s">
        <v>72</v>
      </c>
      <c r="AD1" t="s">
        <v>73</v>
      </c>
      <c r="AE1" t="s">
        <v>74</v>
      </c>
      <c r="AF1" t="s">
        <v>75</v>
      </c>
      <c r="AG1" t="s">
        <v>76</v>
      </c>
      <c r="AH1" t="s">
        <v>77</v>
      </c>
    </row>
    <row r="2" spans="1:34" s="94" customFormat="1" x14ac:dyDescent="0.25">
      <c r="A2" s="94">
        <v>341</v>
      </c>
      <c r="B2" s="94">
        <v>667</v>
      </c>
      <c r="C2" s="94" t="s">
        <v>761</v>
      </c>
      <c r="D2" s="94">
        <v>0</v>
      </c>
      <c r="E2" s="94" t="s">
        <v>762</v>
      </c>
      <c r="F2" s="94">
        <v>499</v>
      </c>
      <c r="G2" s="94" t="s">
        <v>469</v>
      </c>
      <c r="H2" s="94">
        <v>1</v>
      </c>
      <c r="I2" s="94">
        <v>0</v>
      </c>
      <c r="J2" s="94">
        <v>0</v>
      </c>
      <c r="K2" s="94">
        <v>0</v>
      </c>
      <c r="L2" s="94">
        <v>0</v>
      </c>
      <c r="M2" s="94">
        <v>0</v>
      </c>
      <c r="N2" s="94">
        <v>0</v>
      </c>
      <c r="O2" s="94">
        <v>0</v>
      </c>
      <c r="P2" s="94" t="s">
        <v>763</v>
      </c>
      <c r="S2" s="94" t="s">
        <v>451</v>
      </c>
      <c r="T2" s="94" t="s">
        <v>16</v>
      </c>
      <c r="V2" s="94" t="s">
        <v>16</v>
      </c>
      <c r="W2" s="94">
        <v>0</v>
      </c>
      <c r="X2" s="94">
        <v>0</v>
      </c>
      <c r="Y2" s="94">
        <v>0</v>
      </c>
      <c r="Z2" s="94">
        <v>0</v>
      </c>
      <c r="AA2" s="94">
        <v>0</v>
      </c>
      <c r="AB2" s="94">
        <v>0</v>
      </c>
      <c r="AC2" s="94">
        <v>0</v>
      </c>
      <c r="AD2" s="94">
        <v>0</v>
      </c>
      <c r="AE2" s="94">
        <v>0</v>
      </c>
      <c r="AF2" s="94">
        <v>0</v>
      </c>
      <c r="AG2" s="94">
        <v>0</v>
      </c>
      <c r="AH2" s="94">
        <v>0</v>
      </c>
    </row>
    <row r="3" spans="1:34" s="94" customFormat="1" x14ac:dyDescent="0.25"/>
    <row r="4" spans="1:34" s="94" customFormat="1" x14ac:dyDescent="0.25"/>
    <row r="5" spans="1:34" s="94" customFormat="1" x14ac:dyDescent="0.25"/>
    <row r="6" spans="1:34" s="94" customFormat="1" x14ac:dyDescent="0.25"/>
    <row r="7" spans="1:34" s="94" customFormat="1" x14ac:dyDescent="0.25"/>
    <row r="8" spans="1:34" s="94" customFormat="1" x14ac:dyDescent="0.25"/>
    <row r="9" spans="1:34" s="94" customFormat="1" x14ac:dyDescent="0.25"/>
    <row r="10" spans="1:34" s="94" customFormat="1" x14ac:dyDescent="0.25"/>
    <row r="11" spans="1:34" s="94" customFormat="1" x14ac:dyDescent="0.25"/>
    <row r="12" spans="1:34" s="94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ie">
                <anchor moveWithCells="1" sizeWithCells="1">
                  <from>
                    <xdr:col>7</xdr:col>
                    <xdr:colOff>666750</xdr:colOff>
                    <xdr:row>21</xdr:row>
                    <xdr:rowOff>133350</xdr:rowOff>
                  </from>
                  <to>
                    <xdr:col>9</xdr:col>
                    <xdr:colOff>771525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21</vt:i4>
      </vt:variant>
    </vt:vector>
  </HeadingPairs>
  <TitlesOfParts>
    <vt:vector size="27" baseType="lpstr">
      <vt:lpstr>Tableau de bord</vt:lpstr>
      <vt:lpstr>Equipes</vt:lpstr>
      <vt:lpstr>Cash-Prize</vt:lpstr>
      <vt:lpstr>bouffe</vt:lpstr>
      <vt:lpstr>Inscriptions</vt:lpstr>
      <vt:lpstr>Données</vt:lpstr>
      <vt:lpstr>battle_tag</vt:lpstr>
      <vt:lpstr>di_déj</vt:lpstr>
      <vt:lpstr>di_midi</vt:lpstr>
      <vt:lpstr>Etudiant</vt:lpstr>
      <vt:lpstr>mineur</vt:lpstr>
      <vt:lpstr>montant</vt:lpstr>
      <vt:lpstr>moyen_paiement</vt:lpstr>
      <vt:lpstr>nb_commande</vt:lpstr>
      <vt:lpstr>Nom</vt:lpstr>
      <vt:lpstr>Nom_utilisateur</vt:lpstr>
      <vt:lpstr>num_commande</vt:lpstr>
      <vt:lpstr>Participation_tournoi</vt:lpstr>
      <vt:lpstr>Prenom</vt:lpstr>
      <vt:lpstr>pseudo_riot</vt:lpstr>
      <vt:lpstr>pseudo_steam</vt:lpstr>
      <vt:lpstr>sa_déj</vt:lpstr>
      <vt:lpstr>sa_midi</vt:lpstr>
      <vt:lpstr>sa_soir</vt:lpstr>
      <vt:lpstr>statut_paiement</vt:lpstr>
      <vt:lpstr>team</vt:lpstr>
      <vt:lpstr>ve_soir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2015-05-13T20:42:57Z</cp:lastPrinted>
  <dcterms:created xsi:type="dcterms:W3CDTF">2015-04-02T19:16:47Z</dcterms:created>
  <dcterms:modified xsi:type="dcterms:W3CDTF">2016-05-06T17:06:02Z</dcterms:modified>
</cp:coreProperties>
</file>